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9f898bd92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1b3efbbb3c14976"/>
    <x:sheet xmlns:r="http://schemas.openxmlformats.org/officeDocument/2006/relationships" name="Parameters" sheetId="2" r:id="R3e3a2be65ead4bb3"/>
    <x:sheet xmlns:r="http://schemas.openxmlformats.org/officeDocument/2006/relationships" name="Worked Analysis" sheetId="3" r:id="R4188c6fee5524cbd"/>
    <x:sheet xmlns:r="http://schemas.openxmlformats.org/officeDocument/2006/relationships" name="Decision Summary" sheetId="4" r:id="R46cc18ecbfba4823"/>
    <x:sheet xmlns:r="http://schemas.openxmlformats.org/officeDocument/2006/relationships" name="Blank Template" sheetId="5" r:id="R21b5405a33f8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re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re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re" wrapText="1"/>
    </x:xf>
    <x:xf numFmtId="0" fontId="2" fillId="3" borderId="2" xfId="0" applyNumberFormat="1" applyFont="1" applyFill="1" applyBorder="1" applyAlignment="1">
      <x:alignment vertical="centre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re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re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re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re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re"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re" wrapText="1"/>
    </x:xf>
    <x:xf numFmtId="0" fontId="3" fillId="2" borderId="0" xfId="0" applyNumberFormat="1" applyFont="1" applyFill="1" applyBorder="1" applyAlignment="1">
      <x:alignment horizontal="centre" vertical="centre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re" wrapText="1"/>
    </x:xf>
    <x:xf numFmtId="0" fontId="3" fillId="2" borderId="1" xfId="0" applyNumberFormat="1" applyFont="1" applyFill="1" applyBorder="1" applyAlignment="1">
      <x:alignment horizontal="centre" vertical="centre" wrapText="1"/>
    </x:xf>
    <x:xf numFmtId="0" fontId="3" fillId="2" borderId="2" xfId="0" applyNumberFormat="1" applyFont="1" applyFill="1" applyBorder="1" applyAlignment="1">
      <x:alignment horizontal="centre" vertical="centre" wrapText="1"/>
    </x:xf>
    <x:xf numFmtId="0" fontId="3" fillId="2" borderId="14" xfId="0" applyNumberFormat="1" applyFont="1" applyFill="1" applyBorder="1" applyAlignment="1">
      <x:alignment horizontal="centre" vertical="centre" wrapText="1"/>
    </x:xf>
    <x:xf numFmtId="0" fontId="3" fillId="2" borderId="3" xfId="0" applyNumberFormat="1" applyFont="1" applyFill="1" applyBorder="1" applyAlignment="1">
      <x:alignment horizontal="centre" vertical="centre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re" vertical="centre" wrapText="1"/>
    </x:xf>
    <x:xf numFmtId="0" fontId="3" fillId="2" borderId="16" xfId="0" applyNumberFormat="1" applyFont="1" applyFill="1" applyBorder="1" applyAlignment="1">
      <x:alignment horizontal="centre" vertical="centre" wrapText="1"/>
    </x:xf>
    <x:xf numFmtId="0" fontId="3" fillId="2" borderId="9" xfId="0" applyNumberFormat="1" applyFont="1" applyFill="1" applyBorder="1" applyAlignment="1">
      <x:alignment horizontal="centre" vertical="centre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406c8edc149c9" /><Relationship Type="http://schemas.openxmlformats.org/officeDocument/2006/relationships/theme" Target="/xl/theme/theme1.xml" Id="Rced9624c01d44ee0" /><Relationship Type="http://schemas.openxmlformats.org/officeDocument/2006/relationships/sharedStrings" Target="/xl/sharedStrings.xml" Id="R5b02c93b258e4bf8" /><Relationship Type="http://schemas.openxmlformats.org/officeDocument/2006/relationships/worksheet" Target="/xl/worksheets/sheet1.xml" Id="R31b3efbbb3c14976" /><Relationship Type="http://schemas.openxmlformats.org/officeDocument/2006/relationships/worksheet" Target="/xl/worksheets/sheet2.xml" Id="R3e3a2be65ead4bb3" /><Relationship Type="http://schemas.openxmlformats.org/officeDocument/2006/relationships/worksheet" Target="/xl/worksheets/sheet3.xml" Id="R4188c6fee5524cbd" /><Relationship Type="http://schemas.openxmlformats.org/officeDocument/2006/relationships/worksheet" Target="/xl/worksheets/sheet4.xml" Id="R46cc18ecbfba4823" /><Relationship Type="http://schemas.openxmlformats.org/officeDocument/2006/relationships/worksheet" Target="/xl/worksheets/sheet5.xml" Id="R21b5405a33f84a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b04d45d20642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Pressure score by operational interval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Pressure score</c:v>
          </c:tx>
          <c:cat>
            <c:strRef>
              <c:f>'Decision Summary'!$M$3:$M$8</c:f>
              <c:strCache>
                <c:ptCount val="0"/>
              </c:strCache>
            </c:strRef>
          </c:cat>
          <c:val>
            <c:numRef>
              <c:f>'Decision Summary'!$N$3:$N$8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b04d45d20642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sTable" displayName="ParametersTable" ref="A1:C9" headerRowCount="1">
  <x:tableColumns count="3">
    <x:tableColumn id="1" name="Parameter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CommandDashboardWorked" displayName="CommandDashboardWorked" ref="A1:S7" headerRowCount="1">
  <x:tableColumns count="19">
    <x:tableColumn id="1" name="Interval"/>
    <x:tableColumn id="2" name="Forecast arrivals"/>
    <x:tableColumn id="3" name="Actual arrivals"/>
    <x:tableColumn id="4" name="Staffed beds"/>
    <x:tableColumn id="5" name="Occupied beds"/>
    <x:tableColumn id="6" name="Planned discharges"/>
    <x:tableColumn id="7" name="Completed discharges"/>
    <x:tableColumn id="8" name="Imaging queue"/>
    <x:tableColumn id="9" name="Transport delay (min)"/>
    <x:tableColumn id="10" name="Nursing gap (FTE)"/>
    <x:tableColumn id="11" name="Action latency (min)"/>
    <x:tableColumn id="12" name="Boarded patients"/>
    <x:tableColumn id="13" name="Recorded action"/>
    <x:tableColumn id="14" name="Occupancy rate"/>
    <x:tableColumn id="15" name="Absolute forecast error"/>
    <x:tableColumn id="16" name="Discharge completion rate"/>
    <x:tableColumn id="17" name="Pressure score"/>
    <x:tableColumn id="18" name="Timely action"/>
    <x:tableColumn id="19" name="Pressure level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a06668a79d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886785b7ce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26b572b383f49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AIHE-CASE03B — Hospital Command Dashboard and Patient Flow</x:v>
      </x:c>
      <x:c r="B1" s="4"/>
      <x:c r="C1" s="4"/>
      <x:c r="D1" s="4"/>
      <x:c r="E1" s="4"/>
      <x:c r="F1" s="4"/>
    </x:row>
    <x:row r="3">
      <x:c r="A3" s="16" t="str">
        <x:v>Version</x:v>
      </x:c>
      <x:c r="B3" s="28" t="str">
        <x:v>V1.0</x:v>
      </x:c>
    </x:row>
    <x:row r="4">
      <x:c r="A4" s="18" t="str">
        <x:v>Chapter</x:v>
      </x:c>
      <x:c r="B4" s="29" t="str">
        <x:v>3 — Human–AI Decision Systems and Managerial Action</x:v>
      </x:c>
    </x:row>
    <x:row r="5">
      <x:c r="A5" s="18" t="str">
        <x:v>Decision question</x:v>
      </x:c>
      <x:c r="B5" s="29" t="str">
        <x:v>Under what conditions, if any, should the hospital scale a command dashboard as a permanent patient-flow management intervention?</x:v>
      </x:c>
    </x:row>
    <x:row r="6">
      <x:c r="A6" s="18" t="str">
        <x:v>Use</x:v>
      </x:c>
      <x:c r="B6" s="29" t="str">
        <x:v>Review the synthetic worked analysis, then complete the Blank Template with local or alternative synthetic inputs.</x:v>
      </x:c>
    </x:row>
    <x:row r="7">
      <x:c r="A7" s="18" t="str">
        <x:v>Interpretation</x:v>
      </x:c>
      <x:c r="B7" s="29" t="str">
        <x:v>Assess forecast accuracy together with action latency, discharge completion, staffing, downstream queues, and boarding.</x:v>
      </x:c>
    </x:row>
    <x:row r="8">
      <x:c r="A8" s="18" t="str">
        <x:v>Governance</x:v>
      </x:c>
      <x:c r="B8" s="29" t="str">
        <x:v>Distinguish observed data, forecasts, and recommendations; record owners, actions, overrides, data versions, and review triggers.</x:v>
      </x:c>
    </x:row>
    <x:row r="9">
      <x:c r="A9" s="18" t="str">
        <x:v>Data protection</x:v>
      </x:c>
      <x:c r="B9" s="29" t="str">
        <x:v>Do not enter identifiable patient information or confidential operational data into uncontrolled copies.</x:v>
      </x:c>
    </x:row>
    <x:row r="10">
      <x:c r="A10" s="18" t="str">
        <x:v>Status</x:v>
      </x:c>
      <x:c r="B10" s="29" t="str">
        <x:v>Synthetic decision-support example; not a validated operational model or professional advice.</x:v>
      </x:c>
    </x:row>
    <x:row r="11">
      <x:c r="A11" s="20" t="str">
        <x:v>Related resources</x:v>
      </x:c>
      <x:c r="B11" s="30" t="str">
        <x:v>AIHE-C01, AIHE-C02, AIHE-C04, AIHE-B03, AIHE-I, AIHE-PY21, AIHE-PY23, AIHE-PY34, AIHE-PY35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</x:cols>
  <x:sheetData>
    <x:row r="1">
      <x:c r="A1" s="42" t="str">
        <x:v>Parameter</x:v>
      </x:c>
      <x:c r="B1" s="43" t="str">
        <x:v>Value</x:v>
      </x:c>
      <x:c r="C1" s="44" t="str">
        <x:v>Interpretation</x:v>
      </x:c>
    </x:row>
    <x:row r="2">
      <x:c r="A2" s="63" t="str">
        <x:v>Occupancy weight</x:v>
      </x:c>
      <x:c r="B2" s="64" t="n">
        <x:v>40</x:v>
      </x:c>
      <x:c r="C2" s="65" t="str">
        <x:v>Higher occupancy increases system pressure.</x:v>
      </x:c>
    </x:row>
    <x:row r="3">
      <x:c r="A3" s="63" t="str">
        <x:v>Boarding weight</x:v>
      </x:c>
      <x:c r="B3" s="64" t="n">
        <x:v>1.2</x:v>
      </x:c>
      <x:c r="C3" s="65" t="str">
        <x:v>Each boarded patient contributes to pressure.</x:v>
      </x:c>
    </x:row>
    <x:row r="4">
      <x:c r="A4" s="63" t="str">
        <x:v>Imaging queue weight</x:v>
      </x:c>
      <x:c r="B4" s="64" t="n">
        <x:v>0.8</x:v>
      </x:c>
      <x:c r="C4" s="65" t="str">
        <x:v>Diagnostic backlog contributes to pathway pressure.</x:v>
      </x:c>
    </x:row>
    <x:row r="5">
      <x:c r="A5" s="63" t="str">
        <x:v>Transport delay weight</x:v>
      </x:c>
      <x:c r="B5" s="64" t="n">
        <x:v>0.333333</x:v>
      </x:c>
      <x:c r="C5" s="65" t="str">
        <x:v>Transport delay contributes proportionately.</x:v>
      </x:c>
    </x:row>
    <x:row r="6">
      <x:c r="A6" s="63" t="str">
        <x:v>Staffing gap weight</x:v>
      </x:c>
      <x:c r="B6" s="64" t="n">
        <x:v>4</x:v>
      </x:c>
      <x:c r="C6" s="65" t="str">
        <x:v>Each missing FTE materially increases pressure.</x:v>
      </x:c>
    </x:row>
    <x:row r="7">
      <x:c r="A7" s="63" t="str">
        <x:v>Action-latency threshold (minutes)</x:v>
      </x:c>
      <x:c r="B7" s="64" t="n">
        <x:v>30</x:v>
      </x:c>
      <x:c r="C7" s="65" t="str">
        <x:v>Signals reviewed after this threshold are considered late.</x:v>
      </x:c>
    </x:row>
    <x:row r="8">
      <x:c r="A8" s="63" t="str">
        <x:v>Moderate-pressure threshold</x:v>
      </x:c>
      <x:c r="B8" s="64" t="n">
        <x:v>70</x:v>
      </x:c>
      <x:c r="C8" s="65" t="str">
        <x:v>Requires coordinated review.</x:v>
      </x:c>
    </x:row>
    <x:row r="9">
      <x:c r="A9" s="66" t="str">
        <x:v>High-pressure threshold</x:v>
      </x:c>
      <x:c r="B9" s="67" t="n">
        <x:v>90</x:v>
      </x:c>
      <x:c r="C9" s="68" t="str">
        <x:v>Requires immediate escalation.</x:v>
      </x:c>
    </x:row>
  </x:sheetData>
  <x:pageMargins left="0.7" right="0.7" top="0.75" bottom="0.75" header="0.3" footer="0.3"/>
  <x:tableParts count="1">
    <x:tablePart xmlns:r="http://schemas.openxmlformats.org/officeDocument/2006/relationships" r:id="R1ca06668a79d4a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42" t="str">
        <x:v>Interval</x:v>
      </x:c>
      <x:c r="B1" s="43" t="str">
        <x:v>Forecast arrivals</x:v>
      </x:c>
      <x:c r="C1" s="43" t="str">
        <x:v>Actual arrivals</x:v>
      </x:c>
      <x:c r="D1" s="43" t="str">
        <x:v>Staffed beds</x:v>
      </x:c>
      <x:c r="E1" s="43" t="str">
        <x:v>Occupied beds</x:v>
      </x:c>
      <x:c r="F1" s="43" t="str">
        <x:v>Planned discharges</x:v>
      </x:c>
      <x:c r="G1" s="43" t="str">
        <x:v>Completed discharges</x:v>
      </x:c>
      <x:c r="H1" s="43" t="str">
        <x:v>Imaging queue</x:v>
      </x:c>
      <x:c r="I1" s="43" t="str">
        <x:v>Transport delay (min)</x:v>
      </x:c>
      <x:c r="J1" s="43" t="str">
        <x:v>Nursing gap (FTE)</x:v>
      </x:c>
      <x:c r="K1" s="43" t="str">
        <x:v>Action latency (min)</x:v>
      </x:c>
      <x:c r="L1" s="43" t="str">
        <x:v>Boarded patients</x:v>
      </x:c>
      <x:c r="M1" s="43" t="str">
        <x:v>Recorded action</x:v>
      </x:c>
      <x:c r="N1" s="43" t="str">
        <x:v>Occupancy rate</x:v>
      </x:c>
      <x:c r="O1" s="43" t="str">
        <x:v>Absolute forecast error</x:v>
      </x:c>
      <x:c r="P1" s="43" t="str">
        <x:v>Discharge completion rate</x:v>
      </x:c>
      <x:c r="Q1" s="43" t="str">
        <x:v>Pressure score</x:v>
      </x:c>
      <x:c r="R1" s="43" t="str">
        <x:v>Timely action</x:v>
      </x:c>
      <x:c r="S1" s="44" t="str">
        <x:v>Pressure level</x:v>
      </x:c>
    </x:row>
    <x:row r="2">
      <x:c r="A2" s="55" t="str">
        <x:v>07:00</x:v>
      </x:c>
      <x:c r="B2" s="56" t="str">
        <x:v>42</x:v>
      </x:c>
      <x:c r="C2" s="56" t="str">
        <x:v>39</x:v>
      </x:c>
      <x:c r="D2" s="56" t="str">
        <x:v>480</x:v>
      </x:c>
      <x:c r="E2" s="56" t="str">
        <x:v>446</x:v>
      </x:c>
      <x:c r="F2" s="56" t="str">
        <x:v>28</x:v>
      </x:c>
      <x:c r="G2" s="56" t="str">
        <x:v>18</x:v>
      </x:c>
      <x:c r="H2" s="56" t="str">
        <x:v>14</x:v>
      </x:c>
      <x:c r="I2" s="56" t="str">
        <x:v>24</x:v>
      </x:c>
      <x:c r="J2" s="56" t="str">
        <x:v>2.0</x:v>
      </x:c>
      <x:c r="K2" s="56" t="str">
        <x:v>18</x:v>
      </x:c>
      <x:c r="L2" s="56" t="str">
        <x:v>12</x:v>
      </x:c>
      <x:c r="M2" s="56" t="str">
        <x:v>Expedite discharge review</x:v>
      </x:c>
      <x:c r="N2" s="75" t="n">
        <x:f>E2/D2</x:f>
        <x:v>0.9291666666666667</x:v>
      </x:c>
      <x:c r="O2" s="56" t="n">
        <x:f>ABS(C2-B2)</x:f>
        <x:v>3</x:v>
      </x:c>
      <x:c r="P2" s="75" t="n">
        <x:f>IF(F2=0,0,G2/F2)</x:f>
        <x:v>0.6428571428571429</x:v>
      </x:c>
      <x:c r="Q2" s="56" t="n">
        <x:f>ROUND(N2*Parameters!$B$2+L2*Parameters!$B$3+H2*Parameters!$B$4+I2*Parameters!$B$5+J2*Parameters!$B$6,1)</x:f>
        <x:v>78.8</x:v>
      </x:c>
      <x:c r="R2" s="56" t="str">
        <x:f>IF(K2&lt;=Parameters!$B$7,"Yes","No")</x:f>
        <x:v>Yes</x:v>
      </x:c>
      <x:c r="S2" s="29" t="str">
        <x:f>IF(Q2&gt;=Parameters!$B$9,"High",IF(Q2&gt;=Parameters!$B$8,"Moderate","Routine"))</x:f>
        <x:v>Moderate</x:v>
      </x:c>
    </x:row>
    <x:row r="3">
      <x:c r="A3" s="55" t="str">
        <x:v>09:00</x:v>
      </x:c>
      <x:c r="B3" s="56" t="str">
        <x:v>48</x:v>
      </x:c>
      <x:c r="C3" s="56" t="str">
        <x:v>54</x:v>
      </x:c>
      <x:c r="D3" s="56" t="str">
        <x:v>480</x:v>
      </x:c>
      <x:c r="E3" s="56" t="str">
        <x:v>458</x:v>
      </x:c>
      <x:c r="F3" s="56" t="str">
        <x:v>32</x:v>
      </x:c>
      <x:c r="G3" s="56" t="str">
        <x:v>21</x:v>
      </x:c>
      <x:c r="H3" s="56" t="str">
        <x:v>19</x:v>
      </x:c>
      <x:c r="I3" s="56" t="str">
        <x:v>31</x:v>
      </x:c>
      <x:c r="J3" s="56" t="str">
        <x:v>3.5</x:v>
      </x:c>
      <x:c r="K3" s="56" t="str">
        <x:v>38</x:v>
      </x:c>
      <x:c r="L3" s="56" t="str">
        <x:v>18</x:v>
      </x:c>
      <x:c r="M3" s="56" t="str">
        <x:v>Open escalation huddle</x:v>
      </x:c>
      <x:c r="N3" s="75" t="n">
        <x:f>E3/D3</x:f>
        <x:v>0.9541666666666667</x:v>
      </x:c>
      <x:c r="O3" s="56" t="n">
        <x:f>ABS(C3-B3)</x:f>
        <x:v>6</x:v>
      </x:c>
      <x:c r="P3" s="75" t="n">
        <x:f>IF(F3=0,0,G3/F3)</x:f>
        <x:v>0.65625</x:v>
      </x:c>
      <x:c r="Q3" s="56" t="n">
        <x:f>ROUND(N3*Parameters!$B$2+L3*Parameters!$B$3+H3*Parameters!$B$4+I3*Parameters!$B$5+J3*Parameters!$B$6,1)</x:f>
        <x:v>99.3</x:v>
      </x:c>
      <x:c r="R3" s="56" t="str">
        <x:f>IF(K3&lt;=Parameters!$B$7,"Yes","No")</x:f>
        <x:v>No</x:v>
      </x:c>
      <x:c r="S3" s="29" t="str">
        <x:f>IF(Q3&gt;=Parameters!$B$9,"High",IF(Q3&gt;=Parameters!$B$8,"Moderate","Routine"))</x:f>
        <x:v>High</x:v>
      </x:c>
    </x:row>
    <x:row r="4">
      <x:c r="A4" s="55" t="str">
        <x:v>11:00</x:v>
      </x:c>
      <x:c r="B4" s="56" t="str">
        <x:v>55</x:v>
      </x:c>
      <x:c r="C4" s="56" t="str">
        <x:v>62</x:v>
      </x:c>
      <x:c r="D4" s="56" t="str">
        <x:v>482</x:v>
      </x:c>
      <x:c r="E4" s="56" t="str">
        <x:v>469</x:v>
      </x:c>
      <x:c r="F4" s="56" t="str">
        <x:v>36</x:v>
      </x:c>
      <x:c r="G4" s="56" t="str">
        <x:v>25</x:v>
      </x:c>
      <x:c r="H4" s="56" t="str">
        <x:v>27</x:v>
      </x:c>
      <x:c r="I4" s="56" t="str">
        <x:v>44</x:v>
      </x:c>
      <x:c r="J4" s="56" t="str">
        <x:v>4.0</x:v>
      </x:c>
      <x:c r="K4" s="56" t="str">
        <x:v>47</x:v>
      </x:c>
      <x:c r="L4" s="56" t="str">
        <x:v>27</x:v>
      </x:c>
      <x:c r="M4" s="56" t="str">
        <x:v>Add diagnostic and transport capacity</x:v>
      </x:c>
      <x:c r="N4" s="75" t="n">
        <x:f>E4/D4</x:f>
        <x:v>0.9730290456431535</x:v>
      </x:c>
      <x:c r="O4" s="56" t="n">
        <x:f>ABS(C4-B4)</x:f>
        <x:v>7</x:v>
      </x:c>
      <x:c r="P4" s="75" t="n">
        <x:f>IF(F4=0,0,G4/F4)</x:f>
        <x:v>0.6944444444444444</x:v>
      </x:c>
      <x:c r="Q4" s="56" t="n">
        <x:f>ROUND(N4*Parameters!$B$2+L4*Parameters!$B$3+H4*Parameters!$B$4+I4*Parameters!$B$5+J4*Parameters!$B$6,1)</x:f>
        <x:v>123.6</x:v>
      </x:c>
      <x:c r="R4" s="56" t="str">
        <x:f>IF(K4&lt;=Parameters!$B$7,"Yes","No")</x:f>
        <x:v>No</x:v>
      </x:c>
      <x:c r="S4" s="29" t="str">
        <x:f>IF(Q4&gt;=Parameters!$B$9,"High",IF(Q4&gt;=Parameters!$B$8,"Moderate","Routine"))</x:f>
        <x:v>High</x:v>
      </x:c>
    </x:row>
    <x:row r="5">
      <x:c r="A5" s="55" t="str">
        <x:v>13:00</x:v>
      </x:c>
      <x:c r="B5" s="56" t="str">
        <x:v>59</x:v>
      </x:c>
      <x:c r="C5" s="56" t="str">
        <x:v>57</x:v>
      </x:c>
      <x:c r="D5" s="56" t="str">
        <x:v>486</x:v>
      </x:c>
      <x:c r="E5" s="56" t="str">
        <x:v>474</x:v>
      </x:c>
      <x:c r="F5" s="56" t="str">
        <x:v>42</x:v>
      </x:c>
      <x:c r="G5" s="56" t="str">
        <x:v>33</x:v>
      </x:c>
      <x:c r="H5" s="56" t="str">
        <x:v>24</x:v>
      </x:c>
      <x:c r="I5" s="56" t="str">
        <x:v>37</x:v>
      </x:c>
      <x:c r="J5" s="56" t="str">
        <x:v>3.0</x:v>
      </x:c>
      <x:c r="K5" s="56" t="str">
        <x:v>29</x:v>
      </x:c>
      <x:c r="L5" s="56" t="str">
        <x:v>31</x:v>
      </x:c>
      <x:c r="M5" s="56" t="str">
        <x:v>Prioritize discharge and transfer</x:v>
      </x:c>
      <x:c r="N5" s="75" t="n">
        <x:f>E5/D5</x:f>
        <x:v>0.9753086419753086</x:v>
      </x:c>
      <x:c r="O5" s="56" t="n">
        <x:f>ABS(C5-B5)</x:f>
        <x:v>2</x:v>
      </x:c>
      <x:c r="P5" s="75" t="n">
        <x:f>IF(F5=0,0,G5/F5)</x:f>
        <x:v>0.7857142857142857</x:v>
      </x:c>
      <x:c r="Q5" s="56" t="n">
        <x:f>ROUND(N5*Parameters!$B$2+L5*Parameters!$B$3+H5*Parameters!$B$4+I5*Parameters!$B$5+J5*Parameters!$B$6,1)</x:f>
        <x:v>119.7</x:v>
      </x:c>
      <x:c r="R5" s="56" t="str">
        <x:f>IF(K5&lt;=Parameters!$B$7,"Yes","No")</x:f>
        <x:v>Yes</x:v>
      </x:c>
      <x:c r="S5" s="29" t="str">
        <x:f>IF(Q5&gt;=Parameters!$B$9,"High",IF(Q5&gt;=Parameters!$B$8,"Moderate","Routine"))</x:f>
        <x:v>High</x:v>
      </x:c>
    </x:row>
    <x:row r="6">
      <x:c r="A6" s="55" t="str">
        <x:v>15:00</x:v>
      </x:c>
      <x:c r="B6" s="56" t="str">
        <x:v>52</x:v>
      </x:c>
      <x:c r="C6" s="56" t="str">
        <x:v>49</x:v>
      </x:c>
      <x:c r="D6" s="56" t="str">
        <x:v>486</x:v>
      </x:c>
      <x:c r="E6" s="56" t="str">
        <x:v>472</x:v>
      </x:c>
      <x:c r="F6" s="56" t="str">
        <x:v>38</x:v>
      </x:c>
      <x:c r="G6" s="56" t="str">
        <x:v>34</x:v>
      </x:c>
      <x:c r="H6" s="56" t="str">
        <x:v>18</x:v>
      </x:c>
      <x:c r="I6" s="56" t="str">
        <x:v>28</x:v>
      </x:c>
      <x:c r="J6" s="56" t="str">
        <x:v>2.0</x:v>
      </x:c>
      <x:c r="K6" s="56" t="str">
        <x:v>22</x:v>
      </x:c>
      <x:c r="L6" s="56" t="str">
        <x:v>24</x:v>
      </x:c>
      <x:c r="M6" s="56" t="str">
        <x:v>Maintain surge controls</x:v>
      </x:c>
      <x:c r="N6" s="75" t="n">
        <x:f>E6/D6</x:f>
        <x:v>0.9711934156378601</x:v>
      </x:c>
      <x:c r="O6" s="56" t="n">
        <x:f>ABS(C6-B6)</x:f>
        <x:v>3</x:v>
      </x:c>
      <x:c r="P6" s="75" t="n">
        <x:f>IF(F6=0,0,G6/F6)</x:f>
        <x:v>0.8947368421052632</x:v>
      </x:c>
      <x:c r="Q6" s="56" t="n">
        <x:f>ROUND(N6*Parameters!$B$2+L6*Parameters!$B$3+H6*Parameters!$B$4+I6*Parameters!$B$5+J6*Parameters!$B$6,1)</x:f>
        <x:v>99.4</x:v>
      </x:c>
      <x:c r="R6" s="56" t="str">
        <x:f>IF(K6&lt;=Parameters!$B$7,"Yes","No")</x:f>
        <x:v>Yes</x:v>
      </x:c>
      <x:c r="S6" s="29" t="str">
        <x:f>IF(Q6&gt;=Parameters!$B$9,"High",IF(Q6&gt;=Parameters!$B$8,"Moderate","Routine"))</x:f>
        <x:v>High</x:v>
      </x:c>
    </x:row>
    <x:row r="7">
      <x:c r="A7" s="57" t="str">
        <x:v>17:00</x:v>
      </x:c>
      <x:c r="B7" s="58" t="str">
        <x:v>46</x:v>
      </x:c>
      <x:c r="C7" s="58" t="str">
        <x:v>44</x:v>
      </x:c>
      <x:c r="D7" s="58" t="str">
        <x:v>484</x:v>
      </x:c>
      <x:c r="E7" s="58" t="str">
        <x:v>466</x:v>
      </x:c>
      <x:c r="F7" s="58" t="str">
        <x:v>31</x:v>
      </x:c>
      <x:c r="G7" s="58" t="str">
        <x:v>29</x:v>
      </x:c>
      <x:c r="H7" s="58" t="str">
        <x:v>13</x:v>
      </x:c>
      <x:c r="I7" s="58" t="str">
        <x:v>19</x:v>
      </x:c>
      <x:c r="J7" s="58" t="str">
        <x:v>1.0</x:v>
      </x:c>
      <x:c r="K7" s="58" t="str">
        <x:v>16</x:v>
      </x:c>
      <x:c r="L7" s="58" t="str">
        <x:v>16</x:v>
      </x:c>
      <x:c r="M7" s="58" t="str">
        <x:v>Stand down selected escalation</x:v>
      </x:c>
      <x:c r="N7" s="76" t="n">
        <x:f>E7/D7</x:f>
        <x:v>0.9628099173553719</x:v>
      </x:c>
      <x:c r="O7" s="58" t="n">
        <x:f>ABS(C7-B7)</x:f>
        <x:v>2</x:v>
      </x:c>
      <x:c r="P7" s="76" t="n">
        <x:f>IF(F7=0,0,G7/F7)</x:f>
        <x:v>0.9354838709677419</x:v>
      </x:c>
      <x:c r="Q7" s="58" t="n">
        <x:f>ROUND(N7*Parameters!$B$2+L7*Parameters!$B$3+H7*Parameters!$B$4+I7*Parameters!$B$5+J7*Parameters!$B$6,1)</x:f>
        <x:v>78.4</x:v>
      </x:c>
      <x:c r="R7" s="58" t="str">
        <x:f>IF(K7&lt;=Parameters!$B$7,"Yes","No")</x:f>
        <x:v>Yes</x:v>
      </x:c>
      <x:c r="S7" s="30" t="str">
        <x:f>IF(Q7&gt;=Parameters!$B$9,"High",IF(Q7&gt;=Parameters!$B$8,"Moderate","Routine"))</x:f>
        <x:v>Moderate</x:v>
      </x:c>
    </x:row>
  </x:sheetData>
  <x:conditionalFormatting sqref="Q2:Q7">
    <x:cfRule type="colorScale" priority="1">
      <x:colorScale>
        <x:cfvo type="min"/>
        <x:cfvo type="percentile" val="50"/>
        <x:cfvo type="max"/>
        <x:color rgb="FFD4EDDA"/>
        <x:color rgb="FFFFF3CD"/>
        <x:color rgb="FFF8D7DA"/>
      </x:colorScale>
    </x:cfRule>
  </x:conditionalFormatting>
  <x:conditionalFormatting sqref="R2:R7">
    <x:cfRule type="expression" dxfId="0" priority="2">
      <x:formula>R2="No"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886785b7ce43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4" t="str">
        <x:v>Worked decision summary</x:v>
      </x:c>
      <x:c r="B1" s="4"/>
      <x:c r="C1" s="4"/>
      <x:c r="D1" s="4"/>
      <x:c r="E1" s="4"/>
      <x:c r="F1" s="4"/>
    </x:row>
    <x:row r="2">
      <x:c r="M2" s="42" t="str">
        <x:v>Interval</x:v>
      </x:c>
      <x:c r="N2" s="44" t="str">
        <x:v>Pressure score</x:v>
      </x:c>
    </x:row>
    <x:row r="3">
      <x:c r="A3" s="16" t="str">
        <x:v>Average occupancy</x:v>
      </x:c>
      <x:c r="B3" s="79" t="n">
        <x:f>AVERAGE('Worked Analysis'!N2:N7)</x:f>
        <x:v>0.9609457256575046</x:v>
      </x:c>
      <x:c r="M3" s="45" t="str">
        <x:f>'Worked Analysis'!A2</x:f>
        <x:v>07:00</x:v>
      </x:c>
      <x:c r="N3" s="19" t="n">
        <x:f>'Worked Analysis'!Q2</x:f>
        <x:v>78.8</x:v>
      </x:c>
    </x:row>
    <x:row r="4">
      <x:c r="A4" s="18" t="str">
        <x:v>Mean absolute arrival error</x:v>
      </x:c>
      <x:c r="B4" s="29" t="n">
        <x:f>AVERAGE('Worked Analysis'!O2:O7)</x:f>
        <x:v>3.8333333333333335</x:v>
      </x:c>
      <x:c r="M4" s="45" t="str">
        <x:f>'Worked Analysis'!A3</x:f>
        <x:v>09:00</x:v>
      </x:c>
      <x:c r="N4" s="19" t="n">
        <x:f>'Worked Analysis'!Q3</x:f>
        <x:v>99.3</x:v>
      </x:c>
    </x:row>
    <x:row r="5">
      <x:c r="A5" s="18" t="str">
        <x:v>Average discharge completion</x:v>
      </x:c>
      <x:c r="B5" s="81" t="n">
        <x:f>AVERAGE('Worked Analysis'!P2:P7)</x:f>
        <x:v>0.7682477643481463</x:v>
      </x:c>
      <x:c r="M5" s="45" t="str">
        <x:f>'Worked Analysis'!A4</x:f>
        <x:v>11:00</x:v>
      </x:c>
      <x:c r="N5" s="19" t="n">
        <x:f>'Worked Analysis'!Q4</x:f>
        <x:v>123.6</x:v>
      </x:c>
    </x:row>
    <x:row r="6">
      <x:c r="A6" s="18" t="str">
        <x:v>Timely-action proportion</x:v>
      </x:c>
      <x:c r="B6" s="29" t="n">
        <x:f>COUNTIF('Worked Analysis'!R2:R7,"Yes")/COUNTA('Worked Analysis'!R2:R7)</x:f>
        <x:v>0.6666666666666666</x:v>
      </x:c>
      <x:c r="M6" s="45" t="str">
        <x:f>'Worked Analysis'!A5</x:f>
        <x:v>13:00</x:v>
      </x:c>
      <x:c r="N6" s="19" t="n">
        <x:f>'Worked Analysis'!Q5</x:f>
        <x:v>119.7</x:v>
      </x:c>
    </x:row>
    <x:row r="7">
      <x:c r="A7" s="18" t="str">
        <x:v>Maximum pressure score</x:v>
      </x:c>
      <x:c r="B7" s="29" t="n">
        <x:f>MAX('Worked Analysis'!Q2:Q7)</x:f>
        <x:v>123.6</x:v>
      </x:c>
      <x:c r="M7" s="45" t="str">
        <x:f>'Worked Analysis'!A6</x:f>
        <x:v>15:00</x:v>
      </x:c>
      <x:c r="N7" s="19" t="n">
        <x:f>'Worked Analysis'!Q6</x:f>
        <x:v>99.4</x:v>
      </x:c>
    </x:row>
    <x:row r="8">
      <x:c r="A8" s="18" t="str">
        <x:v>High-pressure intervals</x:v>
      </x:c>
      <x:c r="B8" s="29" t="n">
        <x:f>COUNTIF('Worked Analysis'!S2:S7,"High")</x:f>
        <x:v>4</x:v>
      </x:c>
      <x:c r="M8" s="47" t="str">
        <x:f>'Worked Analysis'!A7</x:f>
        <x:v>17:00</x:v>
      </x:c>
      <x:c r="N8" s="21" t="n">
        <x:f>'Worked Analysis'!Q7</x:f>
        <x:v>78.4</x:v>
      </x:c>
    </x:row>
    <x:row r="9">
      <x:c r="A9" s="20" t="str">
        <x:v>Worked recommendation</x:v>
      </x:c>
      <x:c r="B9" s="30" t="str">
        <x:v>Continue a redesigned, time-limited pilot; do not yet scale to permanent 24-hour operation.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26b572b383f49c6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42" t="str">
        <x:v>Interval</x:v>
      </x:c>
      <x:c r="B1" s="43" t="str">
        <x:v>Forecast arrivals</x:v>
      </x:c>
      <x:c r="C1" s="43" t="str">
        <x:v>Actual arrivals</x:v>
      </x:c>
      <x:c r="D1" s="43" t="str">
        <x:v>Staffed beds</x:v>
      </x:c>
      <x:c r="E1" s="43" t="str">
        <x:v>Occupied beds</x:v>
      </x:c>
      <x:c r="F1" s="43" t="str">
        <x:v>Planned discharges</x:v>
      </x:c>
      <x:c r="G1" s="43" t="str">
        <x:v>Completed discharges</x:v>
      </x:c>
      <x:c r="H1" s="43" t="str">
        <x:v>Imaging queue</x:v>
      </x:c>
      <x:c r="I1" s="43" t="str">
        <x:v>Transport delay (min)</x:v>
      </x:c>
      <x:c r="J1" s="43" t="str">
        <x:v>Nursing gap (FTE)</x:v>
      </x:c>
      <x:c r="K1" s="43" t="str">
        <x:v>Action latency (min)</x:v>
      </x:c>
      <x:c r="L1" s="43" t="str">
        <x:v>Boarded patients</x:v>
      </x:c>
      <x:c r="M1" s="43" t="str">
        <x:v>Recorded action</x:v>
      </x:c>
      <x:c r="N1" s="43" t="str">
        <x:v>Occupancy rate</x:v>
      </x:c>
      <x:c r="O1" s="43" t="str">
        <x:v>Absolute forecast error</x:v>
      </x:c>
      <x:c r="P1" s="43" t="str">
        <x:v>Discharge completion rate</x:v>
      </x:c>
      <x:c r="Q1" s="43" t="str">
        <x:v>Pressure score</x:v>
      </x:c>
      <x:c r="R1" s="43" t="str">
        <x:v>Timely action</x:v>
      </x:c>
      <x:c r="S1" s="44" t="str">
        <x:v>Pressure level</x:v>
      </x:c>
    </x:row>
    <x:row r="2">
      <x:c r="A2" s="55" t="str"/>
      <x:c r="B2" s="56" t="str"/>
      <x:c r="C2" s="56" t="str"/>
      <x:c r="D2" s="56" t="str"/>
      <x:c r="E2" s="56" t="str"/>
      <x:c r="F2" s="56" t="str"/>
      <x:c r="G2" s="56" t="str"/>
      <x:c r="H2" s="56" t="str"/>
      <x:c r="I2" s="56" t="str"/>
      <x:c r="J2" s="56" t="str"/>
      <x:c r="K2" s="56" t="str"/>
      <x:c r="L2" s="56" t="str"/>
      <x:c r="M2" s="56" t="str"/>
      <x:c r="N2" s="75" t="str">
        <x:f>IFERROR(E2/D2,"")</x:f>
      </x:c>
      <x:c r="O2" s="56" t="str">
        <x:f>IF(OR(B2="",C2=""),"",ABS(C2-B2))</x:f>
      </x:c>
      <x:c r="P2" s="75" t="str">
        <x:f>IFERROR(G2/F2,"")</x:f>
      </x:c>
      <x:c r="Q2" s="56" t="n">
        <x:f>IF(COUNTA(A2:M2)=0,"",ROUND(N2*Parameters!$B$2+L2*Parameters!$B$3+H2*Parameters!$B$4+I2*Parameters!$B$5+J2*Parameters!$B$6,1))</x:f>
        <x:v>0</x:v>
      </x:c>
      <x:c r="R2" s="56" t="str">
        <x:f>IF(K2="","",IF(K2&lt;=Parameters!$B$7,"Yes","No"))</x:f>
      </x:c>
      <x:c r="S2" s="29" t="str">
        <x:f>IF(Q2="","",IF(Q2&gt;=Parameters!$B$9,"High",IF(Q2&gt;=Parameters!$B$8,"Moderate","Routine")))</x:f>
      </x:c>
    </x:row>
    <x:row r="3">
      <x:c r="A3" s="55" t="str"/>
      <x:c r="B3" s="56" t="str"/>
      <x:c r="C3" s="56" t="str"/>
      <x:c r="D3" s="56" t="str"/>
      <x:c r="E3" s="56" t="str"/>
      <x:c r="F3" s="56" t="str"/>
      <x:c r="G3" s="56" t="str"/>
      <x:c r="H3" s="56" t="str"/>
      <x:c r="I3" s="56" t="str"/>
      <x:c r="J3" s="56" t="str"/>
      <x:c r="K3" s="56" t="str"/>
      <x:c r="L3" s="56" t="str"/>
      <x:c r="M3" s="56" t="str"/>
      <x:c r="N3" s="75" t="str">
        <x:f>IFERROR(E3/D3,"")</x:f>
      </x:c>
      <x:c r="O3" s="56" t="str">
        <x:f>IF(OR(B3="",C3=""),"",ABS(C3-B3))</x:f>
      </x:c>
      <x:c r="P3" s="75" t="str">
        <x:f>IFERROR(G3/F3,"")</x:f>
      </x:c>
      <x:c r="Q3" s="56" t="n">
        <x:f>IF(COUNTA(A3:M3)=0,"",ROUND(N3*Parameters!$B$2+L3*Parameters!$B$3+H3*Parameters!$B$4+I3*Parameters!$B$5+J3*Parameters!$B$6,1))</x:f>
        <x:v>0</x:v>
      </x:c>
      <x:c r="R3" s="56" t="str">
        <x:f>IF(K3="","",IF(K3&lt;=Parameters!$B$7,"Yes","No"))</x:f>
      </x:c>
      <x:c r="S3" s="29" t="str">
        <x:f>IF(Q3="","",IF(Q3&gt;=Parameters!$B$9,"High",IF(Q3&gt;=Parameters!$B$8,"Moderate","Routine")))</x:f>
      </x:c>
    </x:row>
    <x:row r="4">
      <x:c r="A4" s="55" t="str"/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  <x:c r="J4" s="56" t="str"/>
      <x:c r="K4" s="56" t="str"/>
      <x:c r="L4" s="56" t="str"/>
      <x:c r="M4" s="56" t="str"/>
      <x:c r="N4" s="75" t="str">
        <x:f>IFERROR(E4/D4,"")</x:f>
      </x:c>
      <x:c r="O4" s="56" t="str">
        <x:f>IF(OR(B4="",C4=""),"",ABS(C4-B4))</x:f>
      </x:c>
      <x:c r="P4" s="75" t="str">
        <x:f>IFERROR(G4/F4,"")</x:f>
      </x:c>
      <x:c r="Q4" s="56" t="n">
        <x:f>IF(COUNTA(A4:M4)=0,"",ROUND(N4*Parameters!$B$2+L4*Parameters!$B$3+H4*Parameters!$B$4+I4*Parameters!$B$5+J4*Parameters!$B$6,1))</x:f>
        <x:v>0</x:v>
      </x:c>
      <x:c r="R4" s="56" t="str">
        <x:f>IF(K4="","",IF(K4&lt;=Parameters!$B$7,"Yes","No"))</x:f>
      </x:c>
      <x:c r="S4" s="29" t="str">
        <x:f>IF(Q4="","",IF(Q4&gt;=Parameters!$B$9,"High",IF(Q4&gt;=Parameters!$B$8,"Moderate","Routine")))</x:f>
      </x:c>
    </x:row>
    <x:row r="5">
      <x:c r="A5" s="55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75" t="str">
        <x:f>IFERROR(E5/D5,"")</x:f>
      </x:c>
      <x:c r="O5" s="56" t="str">
        <x:f>IF(OR(B5="",C5=""),"",ABS(C5-B5))</x:f>
      </x:c>
      <x:c r="P5" s="75" t="str">
        <x:f>IFERROR(G5/F5,"")</x:f>
      </x:c>
      <x:c r="Q5" s="56" t="n">
        <x:f>IF(COUNTA(A5:M5)=0,"",ROUND(N5*Parameters!$B$2+L5*Parameters!$B$3+H5*Parameters!$B$4+I5*Parameters!$B$5+J5*Parameters!$B$6,1))</x:f>
        <x:v>0</x:v>
      </x:c>
      <x:c r="R5" s="56" t="str">
        <x:f>IF(K5="","",IF(K5&lt;=Parameters!$B$7,"Yes","No"))</x:f>
      </x:c>
      <x:c r="S5" s="29" t="str">
        <x:f>IF(Q5="","",IF(Q5&gt;=Parameters!$B$9,"High",IF(Q5&gt;=Parameters!$B$8,"Moderate","Routine")))</x:f>
      </x:c>
    </x:row>
    <x:row r="6">
      <x:c r="A6" s="55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75" t="str">
        <x:f>IFERROR(E6/D6,"")</x:f>
      </x:c>
      <x:c r="O6" s="56" t="str">
        <x:f>IF(OR(B6="",C6=""),"",ABS(C6-B6))</x:f>
      </x:c>
      <x:c r="P6" s="75" t="str">
        <x:f>IFERROR(G6/F6,"")</x:f>
      </x:c>
      <x:c r="Q6" s="56" t="n">
        <x:f>IF(COUNTA(A6:M6)=0,"",ROUND(N6*Parameters!$B$2+L6*Parameters!$B$3+H6*Parameters!$B$4+I6*Parameters!$B$5+J6*Parameters!$B$6,1))</x:f>
        <x:v>0</x:v>
      </x:c>
      <x:c r="R6" s="56" t="str">
        <x:f>IF(K6="","",IF(K6&lt;=Parameters!$B$7,"Yes","No"))</x:f>
      </x:c>
      <x:c r="S6" s="29" t="str">
        <x:f>IF(Q6="","",IF(Q6&gt;=Parameters!$B$9,"High",IF(Q6&gt;=Parameters!$B$8,"Moderate","Routine")))</x:f>
      </x:c>
    </x:row>
    <x:row r="7">
      <x:c r="A7" s="55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75" t="str">
        <x:f>IFERROR(E7/D7,"")</x:f>
      </x:c>
      <x:c r="O7" s="56" t="str">
        <x:f>IF(OR(B7="",C7=""),"",ABS(C7-B7))</x:f>
      </x:c>
      <x:c r="P7" s="75" t="str">
        <x:f>IFERROR(G7/F7,"")</x:f>
      </x:c>
      <x:c r="Q7" s="56" t="n">
        <x:f>IF(COUNTA(A7:M7)=0,"",ROUND(N7*Parameters!$B$2+L7*Parameters!$B$3+H7*Parameters!$B$4+I7*Parameters!$B$5+J7*Parameters!$B$6,1))</x:f>
        <x:v>0</x:v>
      </x:c>
      <x:c r="R7" s="56" t="str">
        <x:f>IF(K7="","",IF(K7&lt;=Parameters!$B$7,"Yes","No"))</x:f>
      </x:c>
      <x:c r="S7" s="29" t="str">
        <x:f>IF(Q7="","",IF(Q7&gt;=Parameters!$B$9,"High",IF(Q7&gt;=Parameters!$B$8,"Moderate","Routine")))</x:f>
      </x:c>
    </x:row>
    <x:row r="8">
      <x:c r="A8" s="55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75" t="str">
        <x:f>IFERROR(E8/D8,"")</x:f>
      </x:c>
      <x:c r="O8" s="56" t="str">
        <x:f>IF(OR(B8="",C8=""),"",ABS(C8-B8))</x:f>
      </x:c>
      <x:c r="P8" s="75" t="str">
        <x:f>IFERROR(G8/F8,"")</x:f>
      </x:c>
      <x:c r="Q8" s="56" t="n">
        <x:f>IF(COUNTA(A8:M8)=0,"",ROUND(N8*Parameters!$B$2+L8*Parameters!$B$3+H8*Parameters!$B$4+I8*Parameters!$B$5+J8*Parameters!$B$6,1))</x:f>
        <x:v>0</x:v>
      </x:c>
      <x:c r="R8" s="56" t="str">
        <x:f>IF(K8="","",IF(K8&lt;=Parameters!$B$7,"Yes","No"))</x:f>
      </x:c>
      <x:c r="S8" s="29" t="str">
        <x:f>IF(Q8="","",IF(Q8&gt;=Parameters!$B$9,"High",IF(Q8&gt;=Parameters!$B$8,"Moderate","Routine")))</x:f>
      </x:c>
    </x:row>
    <x:row r="9">
      <x:c r="A9" s="55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75" t="str">
        <x:f>IFERROR(E9/D9,"")</x:f>
      </x:c>
      <x:c r="O9" s="56" t="str">
        <x:f>IF(OR(B9="",C9=""),"",ABS(C9-B9))</x:f>
      </x:c>
      <x:c r="P9" s="75" t="str">
        <x:f>IFERROR(G9/F9,"")</x:f>
      </x:c>
      <x:c r="Q9" s="56" t="n">
        <x:f>IF(COUNTA(A9:M9)=0,"",ROUND(N9*Parameters!$B$2+L9*Parameters!$B$3+H9*Parameters!$B$4+I9*Parameters!$B$5+J9*Parameters!$B$6,1))</x:f>
        <x:v>0</x:v>
      </x:c>
      <x:c r="R9" s="56" t="str">
        <x:f>IF(K9="","",IF(K9&lt;=Parameters!$B$7,"Yes","No"))</x:f>
      </x:c>
      <x:c r="S9" s="29" t="str">
        <x:f>IF(Q9="","",IF(Q9&gt;=Parameters!$B$9,"High",IF(Q9&gt;=Parameters!$B$8,"Moderate","Routine")))</x:f>
      </x:c>
    </x:row>
    <x:row r="10">
      <x:c r="A10" s="55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75" t="str">
        <x:f>IFERROR(E10/D10,"")</x:f>
      </x:c>
      <x:c r="O10" s="56" t="str">
        <x:f>IF(OR(B10="",C10=""),"",ABS(C10-B10))</x:f>
      </x:c>
      <x:c r="P10" s="75" t="str">
        <x:f>IFERROR(G10/F10,"")</x:f>
      </x:c>
      <x:c r="Q10" s="56" t="n">
        <x:f>IF(COUNTA(A10:M10)=0,"",ROUND(N10*Parameters!$B$2+L10*Parameters!$B$3+H10*Parameters!$B$4+I10*Parameters!$B$5+J10*Parameters!$B$6,1))</x:f>
        <x:v>0</x:v>
      </x:c>
      <x:c r="R10" s="56" t="str">
        <x:f>IF(K10="","",IF(K10&lt;=Parameters!$B$7,"Yes","No"))</x:f>
      </x:c>
      <x:c r="S10" s="29" t="str">
        <x:f>IF(Q10="","",IF(Q10&gt;=Parameters!$B$9,"High",IF(Q10&gt;=Parameters!$B$8,"Moderate","Routine")))</x:f>
      </x:c>
    </x:row>
    <x:row r="11">
      <x:c r="A11" s="55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75" t="str">
        <x:f>IFERROR(E11/D11,"")</x:f>
      </x:c>
      <x:c r="O11" s="56" t="str">
        <x:f>IF(OR(B11="",C11=""),"",ABS(C11-B11))</x:f>
      </x:c>
      <x:c r="P11" s="75" t="str">
        <x:f>IFERROR(G11/F11,"")</x:f>
      </x:c>
      <x:c r="Q11" s="56" t="n">
        <x:f>IF(COUNTA(A11:M11)=0,"",ROUND(N11*Parameters!$B$2+L11*Parameters!$B$3+H11*Parameters!$B$4+I11*Parameters!$B$5+J11*Parameters!$B$6,1))</x:f>
        <x:v>0</x:v>
      </x:c>
      <x:c r="R11" s="56" t="str">
        <x:f>IF(K11="","",IF(K11&lt;=Parameters!$B$7,"Yes","No"))</x:f>
      </x:c>
      <x:c r="S11" s="29" t="str">
        <x:f>IF(Q11="","",IF(Q11&gt;=Parameters!$B$9,"High",IF(Q11&gt;=Parameters!$B$8,"Moderate","Routine")))</x:f>
      </x:c>
    </x:row>
    <x:row r="12">
      <x:c r="A12" s="55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75" t="str">
        <x:f>IFERROR(E12/D12,"")</x:f>
      </x:c>
      <x:c r="O12" s="56" t="str">
        <x:f>IF(OR(B12="",C12=""),"",ABS(C12-B12))</x:f>
      </x:c>
      <x:c r="P12" s="75" t="str">
        <x:f>IFERROR(G12/F12,"")</x:f>
      </x:c>
      <x:c r="Q12" s="56" t="n">
        <x:f>IF(COUNTA(A12:M12)=0,"",ROUND(N12*Parameters!$B$2+L12*Parameters!$B$3+H12*Parameters!$B$4+I12*Parameters!$B$5+J12*Parameters!$B$6,1))</x:f>
        <x:v>0</x:v>
      </x:c>
      <x:c r="R12" s="56" t="str">
        <x:f>IF(K12="","",IF(K12&lt;=Parameters!$B$7,"Yes","No"))</x:f>
      </x:c>
      <x:c r="S12" s="29" t="str">
        <x:f>IF(Q12="","",IF(Q12&gt;=Parameters!$B$9,"High",IF(Q12&gt;=Parameters!$B$8,"Moderate","Routine")))</x:f>
      </x:c>
    </x:row>
    <x:row r="13">
      <x:c r="A13" s="57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  <x:c r="M13" s="58" t="str"/>
      <x:c r="N13" s="76" t="str">
        <x:f>IFERROR(E13/D13,"")</x:f>
      </x:c>
      <x:c r="O13" s="58" t="str">
        <x:f>IF(OR(B13="",C13=""),"",ABS(C13-B13))</x:f>
      </x:c>
      <x:c r="P13" s="76" t="str">
        <x:f>IFERROR(G13/F13,"")</x:f>
      </x:c>
      <x:c r="Q13" s="58" t="n">
        <x:f>IF(COUNTA(A13:M13)=0,"",ROUND(N13*Parameters!$B$2+L13*Parameters!$B$3+H13*Parameters!$B$4+I13*Parameters!$B$5+J13*Parameters!$B$6,1))</x:f>
        <x:v>0</x:v>
      </x:c>
      <x:c r="R13" s="58" t="str">
        <x:f>IF(K13="","",IF(K13&lt;=Parameters!$B$7,"Yes","No"))</x:f>
      </x:c>
      <x:c r="S13" s="30" t="str">
        <x:f>IF(Q13="","",IF(Q13&gt;=Parameters!$B$9,"High",IF(Q13&gt;=Parameters!$B$8,"Moderate","Routine")))</x:f>
      </x:c>
    </x:row>
  </x:sheetData>
  <x:pageMargins left="0.7" right="0.7" top="0.75" bottom="0.75" header="0.3" footer="0.3"/>
</x:worksheet>
</file>