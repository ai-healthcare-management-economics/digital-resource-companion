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8336de277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b787047b2c44286"/>
    <x:sheet xmlns:r="http://schemas.openxmlformats.org/officeDocument/2006/relationships" name="Worked Inputs" sheetId="2" r:id="Rd329ea6749eb4da7"/>
    <x:sheet xmlns:r="http://schemas.openxmlformats.org/officeDocument/2006/relationships" name="Blank Template" sheetId="3" r:id="R282ffad62c0a48f6"/>
    <x:sheet xmlns:r="http://schemas.openxmlformats.org/officeDocument/2006/relationships" name="Decision Summary" sheetId="4" r:id="Rcbb8ee4a6bc2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b5aea9cc243e3" /><Relationship Type="http://schemas.openxmlformats.org/officeDocument/2006/relationships/theme" Target="/xl/theme/theme1.xml" Id="Raada50da5c0b4a32" /><Relationship Type="http://schemas.openxmlformats.org/officeDocument/2006/relationships/sharedStrings" Target="/xl/sharedStrings.xml" Id="Re9fec016a4d04e93" /><Relationship Type="http://schemas.openxmlformats.org/officeDocument/2006/relationships/worksheet" Target="/xl/worksheets/sheet1.xml" Id="R2b787047b2c44286" /><Relationship Type="http://schemas.openxmlformats.org/officeDocument/2006/relationships/worksheet" Target="/xl/worksheets/sheet2.xml" Id="Rd329ea6749eb4da7" /><Relationship Type="http://schemas.openxmlformats.org/officeDocument/2006/relationships/worksheet" Target="/xl/worksheets/sheet3.xml" Id="R282ffad62c0a48f6" /><Relationship Type="http://schemas.openxmlformats.org/officeDocument/2006/relationships/worksheet" Target="/xl/worksheets/sheet4.xml" Id="Rcbb8ee4a6bc24e00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Deterioration Alert Under Constrained Review Capacity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AIHE-CASE03</x:v>
      </x:c>
    </x:row>
    <x:row r="5">
      <x:c r="A5" s="22" t="str">
        <x:v>Chapter</x:v>
      </x:c>
      <x:c r="B5" s="43" t="str">
        <x:v>3: Human–AI Decision Systems and Managerial Action</x:v>
      </x:c>
    </x:row>
    <x:row r="6">
      <x:c r="A6" s="22" t="str">
        <x:v>Decision question</x:v>
      </x:c>
      <x:c r="B6" s="43" t="str">
        <x:v>Which alert threshold produces an operationally safe balance between missed deterioration and review burden?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AIHE-EX05, AIHE-EX06, AIHE-C04, AIHE-O, AIHE-I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57" t="str">
        <x:v>Threshold</x:v>
      </x:c>
      <x:c r="B3" s="58" t="str">
        <x:v>Patients/day</x:v>
      </x:c>
      <x:c r="C3" s="58" t="str">
        <x:v>Prevalence</x:v>
      </x:c>
      <x:c r="D3" s="58" t="str">
        <x:v>Sensitivity</x:v>
      </x:c>
      <x:c r="E3" s="58" t="str">
        <x:v>Specificity</x:v>
      </x:c>
      <x:c r="F3" s="59" t="str">
        <x:v>Review capacity/day</x:v>
      </x:c>
      <x:c r="G3" s="57" t="str">
        <x:v>True positives</x:v>
      </x:c>
      <x:c r="H3" s="58" t="str">
        <x:v>False positives</x:v>
      </x:c>
      <x:c r="I3" s="58" t="str">
        <x:v>Total alerts</x:v>
      </x:c>
      <x:c r="J3" s="58" t="str">
        <x:v>Missed cases</x:v>
      </x:c>
      <x:c r="K3" s="59" t="str">
        <x:v>Unreviewed alerts</x:v>
      </x:c>
    </x:row>
    <x:row r="4">
      <x:c r="A4" s="72" t="str">
        <x:v>A - high sensitivity</x:v>
      </x:c>
      <x:c r="B4" s="73" t="n">
        <x:v>250</x:v>
      </x:c>
      <x:c r="C4" s="73" t="n">
        <x:v>0.05</x:v>
      </x:c>
      <x:c r="D4" s="73" t="n">
        <x:v>0.92</x:v>
      </x:c>
      <x:c r="E4" s="73" t="n">
        <x:v>0.55</x:v>
      </x:c>
      <x:c r="F4" s="74" t="n">
        <x:v>35</x:v>
      </x:c>
      <x:c r="G4" s="72" t="n">
        <x:f>B4*C4*D4</x:f>
        <x:v>11.5</x:v>
      </x:c>
      <x:c r="H4" s="73" t="n">
        <x:f>B4*(1-C4)*(1-E4)</x:f>
        <x:v>106.87499999999999</x:v>
      </x:c>
      <x:c r="I4" s="73" t="n">
        <x:f>G4+H4</x:f>
        <x:v>118.37499999999999</x:v>
      </x:c>
      <x:c r="J4" s="73" t="n">
        <x:f>B4*C4*(1-D4)</x:f>
        <x:v>0.9999999999999996</x:v>
      </x:c>
      <x:c r="K4" s="74" t="n">
        <x:f>MAX(0,I4-F4)</x:f>
        <x:v>83.37499999999999</x:v>
      </x:c>
    </x:row>
    <x:row r="5">
      <x:c r="A5" s="75" t="str">
        <x:v>B - balanced</x:v>
      </x:c>
      <x:c r="B5" s="40" t="n">
        <x:v>250</x:v>
      </x:c>
      <x:c r="C5" s="40" t="n">
        <x:v>0.05</x:v>
      </x:c>
      <x:c r="D5" s="40" t="n">
        <x:v>0.82</x:v>
      </x:c>
      <x:c r="E5" s="40" t="n">
        <x:v>0.8</x:v>
      </x:c>
      <x:c r="F5" s="76" t="n">
        <x:v>35</x:v>
      </x:c>
      <x:c r="G5" s="75" t="n">
        <x:f>B5*C5*D5</x:f>
        <x:v>10.25</x:v>
      </x:c>
      <x:c r="H5" s="40" t="n">
        <x:f>B5*(1-C5)*(1-E5)</x:f>
        <x:v>47.49999999999999</x:v>
      </x:c>
      <x:c r="I5" s="40" t="n">
        <x:f>G5+H5</x:f>
        <x:v>57.74999999999999</x:v>
      </x:c>
      <x:c r="J5" s="40" t="n">
        <x:f>B5*C5*(1-D5)</x:f>
        <x:v>2.2500000000000004</x:v>
      </x:c>
      <x:c r="K5" s="76" t="n">
        <x:f>MAX(0,I5-F5)</x:f>
        <x:v>22.749999999999993</x:v>
      </x:c>
    </x:row>
    <x:row r="6">
      <x:c r="A6" s="77" t="str">
        <x:v>C - high specificity</x:v>
      </x:c>
      <x:c r="B6" s="78" t="n">
        <x:v>250</x:v>
      </x:c>
      <x:c r="C6" s="78" t="n">
        <x:v>0.05</x:v>
      </x:c>
      <x:c r="D6" s="78" t="n">
        <x:v>0.72</x:v>
      </x:c>
      <x:c r="E6" s="78" t="n">
        <x:v>0.92</x:v>
      </x:c>
      <x:c r="F6" s="79" t="n">
        <x:v>35</x:v>
      </x:c>
      <x:c r="G6" s="77" t="n">
        <x:f>B6*C6*D6</x:f>
        <x:v>9</x:v>
      </x:c>
      <x:c r="H6" s="78" t="n">
        <x:f>B6*(1-C6)*(1-E6)</x:f>
        <x:v>18.99999999999999</x:v>
      </x:c>
      <x:c r="I6" s="78" t="n">
        <x:f>G6+H6</x:f>
        <x:v>27.99999999999999</x:v>
      </x:c>
      <x:c r="J6" s="78" t="n">
        <x:f>B6*C6*(1-D6)</x:f>
        <x:v>3.5000000000000004</x:v>
      </x:c>
      <x:c r="K6" s="79" t="n">
        <x:f>MAX(0,I6-F6)</x:f>
        <x:v>0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  <x:c r="D1" s="5"/>
      <x:c r="E1" s="5"/>
      <x:c r="F1" s="5"/>
    </x:row>
    <x:row r="3">
      <x:c r="A3" s="57" t="str">
        <x:v>Threshold</x:v>
      </x:c>
      <x:c r="B3" s="58" t="str">
        <x:v>Patients/day</x:v>
      </x:c>
      <x:c r="C3" s="58" t="str">
        <x:v>Prevalence</x:v>
      </x:c>
      <x:c r="D3" s="58" t="str">
        <x:v>Sensitivity</x:v>
      </x:c>
      <x:c r="E3" s="58" t="str">
        <x:v>Specificity</x:v>
      </x:c>
      <x:c r="F3" s="59" t="str">
        <x:v>Review capacity/day</x:v>
      </x:c>
    </x:row>
    <x:row r="4">
      <x:c r="A4" s="72" t="str">
        <x:v>A - high sensitivity</x:v>
      </x:c>
      <x:c r="B4" s="73" t="str"/>
      <x:c r="C4" s="73" t="str"/>
      <x:c r="D4" s="73" t="str"/>
      <x:c r="E4" s="73" t="str"/>
      <x:c r="F4" s="74" t="str"/>
    </x:row>
    <x:row r="5">
      <x:c r="A5" s="75" t="str">
        <x:v>B - balanced</x:v>
      </x:c>
      <x:c r="B5" s="40" t="str"/>
      <x:c r="C5" s="40" t="str"/>
      <x:c r="D5" s="40" t="str"/>
      <x:c r="E5" s="40" t="str"/>
      <x:c r="F5" s="76" t="str"/>
    </x:row>
    <x:row r="6">
      <x:c r="A6" s="77" t="str">
        <x:v>C - high specificity</x:v>
      </x:c>
      <x:c r="B6" s="78" t="str"/>
      <x:c r="C6" s="78" t="str"/>
      <x:c r="D6" s="78" t="str"/>
      <x:c r="E6" s="78" t="str"/>
      <x:c r="F6" s="79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Deterioration Alert Under Constrained Review Capacity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Operationally feasible threshold</x:v>
      </x:c>
      <x:c r="B5" s="74" t="str">
        <x:v>Threshold C under current capacity</x:v>
      </x:c>
    </x:row>
    <x:row r="6">
      <x:c r="A6" s="77" t="str">
        <x:v>Required safeguard</x:v>
      </x:c>
      <x:c r="B6" s="79" t="str">
        <x:v>Structured gray-zone review and missed-case monitoring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Threshold A minimizes missed cases but produces an unmanageable alert load. Threshold B still exceeds review capacity. Threshold C fits current capacity but misses more cases. The initial pilot should therefore use a restricted high-specificity action zone with structured review of a gray zone, explicit missed-case monitoring, and a decision about whether response capacity must be expanded.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