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247c9d55ae427a" /></Relationships>
</file>

<file path=xl/workbook.xml><?xml version="1.0" encoding="utf-8"?>
<x:workbook xmlns:x="http://schemas.openxmlformats.org/spreadsheetml/2006/main">
  <x:sheets>
    <x:sheet xmlns:r="http://schemas.openxmlformats.org/officeDocument/2006/relationships" name="Guide" sheetId="1" r:id="R7e911a8a2cca4352"/>
    <x:sheet xmlns:r="http://schemas.openxmlformats.org/officeDocument/2006/relationships" name="Worked Inputs" sheetId="2" r:id="Re1fb73bb86cd4026"/>
    <x:sheet xmlns:r="http://schemas.openxmlformats.org/officeDocument/2006/relationships" name="Blank Template" sheetId="3" r:id="R86af41cf204e48b7"/>
    <x:sheet xmlns:r="http://schemas.openxmlformats.org/officeDocument/2006/relationships" name="Decision Summary" sheetId="4" r:id="R4cc9911bc261488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re" wrapText="1"/>
    </x:xf>
    <x:xf numFmtId="0" fontId="2" fillId="3" borderId="36" xfId="0" applyNumberFormat="1" applyFont="1" applyFill="1" applyBorder="1" applyAlignment="1">
      <x:alignment horizontal="centre" vertical="centre"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re" wrapText="1"/>
    </x:xf>
    <x:xf numFmtId="0" fontId="2" fillId="3" borderId="37" xfId="0" applyNumberFormat="1" applyFont="1" applyFill="1" applyBorder="1" applyAlignment="1">
      <x:alignment horizontal="centre" vertical="centre"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ee53c55fb74062" /><Relationship Type="http://schemas.openxmlformats.org/officeDocument/2006/relationships/theme" Target="/xl/theme/theme1.xml" Id="R4e701b02d01e4355" /><Relationship Type="http://schemas.openxmlformats.org/officeDocument/2006/relationships/sharedStrings" Target="/xl/sharedStrings.xml" Id="Ree85ecb630914f47" /><Relationship Type="http://schemas.openxmlformats.org/officeDocument/2006/relationships/worksheet" Target="/xl/worksheets/sheet1.xml" Id="R7e911a8a2cca4352" /><Relationship Type="http://schemas.openxmlformats.org/officeDocument/2006/relationships/worksheet" Target="/xl/worksheets/sheet2.xml" Id="Re1fb73bb86cd4026" /><Relationship Type="http://schemas.openxmlformats.org/officeDocument/2006/relationships/worksheet" Target="/xl/worksheets/sheet3.xml" Id="R86af41cf204e48b7" /><Relationship Type="http://schemas.openxmlformats.org/officeDocument/2006/relationships/worksheet" Target="/xl/worksheets/sheet4.xml" Id="R4cc9911bc2614880"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Circular AI Infrastructure Strategy</x:v>
      </x:c>
      <x:c r="B1" s="5"/>
      <x:c r="C1" s="5"/>
      <x:c r="D1" s="5"/>
      <x:c r="E1" s="5"/>
      <x:c r="F1" s="5"/>
    </x:row>
    <x:row r="2">
      <x:c r="A2" s="5"/>
      <x:c r="B2" s="5"/>
      <x:c r="C2" s="5"/>
      <x:c r="D2" s="5"/>
      <x:c r="E2" s="5"/>
      <x:c r="F2" s="5"/>
    </x:row>
    <x:row r="4">
      <x:c r="A4" s="21" t="str">
        <x:v>Example ID</x:v>
      </x:c>
      <x:c r="B4" s="42" t="str">
        <x:v>AIHE-CASE13</x:v>
      </x:c>
    </x:row>
    <x:row r="5">
      <x:c r="A5" s="22" t="str">
        <x:v>Chapter</x:v>
      </x:c>
      <x:c r="B5" s="43" t="str">
        <x:v>13: Circular Health Systems and Resource Stewardship</x:v>
      </x:c>
    </x:row>
    <x:row r="6">
      <x:c r="A6" s="22" t="str">
        <x:v>Decision question</x:v>
      </x:c>
      <x:c r="B6" s="43" t="str">
        <x:v>Can the health system meet its analytic need through avoidance, optimization, sharing, and life extension before acquiring new infrastructure?</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AIHE-E01, AIHE-CE1, AIHE-CE4, AIHE-I</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30" hidden="0" customWidth="1"/>
  </x:cols>
  <x:sheetData>
    <x:row r="1">
      <x:c r="A1" s="5" t="str">
        <x:v>Worked synthetic inputs and calculations</x:v>
      </x:c>
      <x:c r="B1" s="5"/>
      <x:c r="C1" s="5"/>
      <x:c r="D1" s="5"/>
      <x:c r="E1" s="5"/>
      <x:c r="F1" s="5"/>
      <x:c r="G1" s="5"/>
      <x:c r="H1" s="5"/>
      <x:c r="I1" s="5"/>
      <x:c r="J1" s="5"/>
      <x:c r="K1" s="5"/>
      <x:c r="L1" s="5"/>
      <x:c r="M1" s="5"/>
    </x:row>
    <x:row r="3">
      <x:c r="A3" s="57" t="str">
        <x:v>Option</x:v>
      </x:c>
      <x:c r="B3" s="58" t="str">
        <x:v>Five-year cost</x:v>
      </x:c>
      <x:c r="C3" s="58" t="str">
        <x:v>Energy MWh/year</x:v>
      </x:c>
      <x:c r="D3" s="58" t="str">
        <x:v>Water m3/year</x:v>
      </x:c>
      <x:c r="E3" s="58" t="str">
        <x:v>New hardware kg</x:v>
      </x:c>
      <x:c r="F3" s="58" t="str">
        <x:v>Average utilization</x:v>
      </x:c>
      <x:c r="G3" s="58" t="str">
        <x:v>Resilience score (1-5)</x:v>
      </x:c>
      <x:c r="H3" s="59" t="str">
        <x:v>Governance risk (1-5)</x:v>
      </x:c>
      <x:c r="I3" s="91" t="str">
        <x:v>Illustrative circular-strategy score</x:v>
      </x:c>
    </x:row>
    <x:row r="4">
      <x:c r="A4" s="72" t="str">
        <x:v>Optimize existing models and scheduling</x:v>
      </x:c>
      <x:c r="B4" s="73" t="n">
        <x:v>650000</x:v>
      </x:c>
      <x:c r="C4" s="73" t="n">
        <x:v>90</x:v>
      </x:c>
      <x:c r="D4" s="73" t="n">
        <x:v>120</x:v>
      </x:c>
      <x:c r="E4" s="73" t="n">
        <x:v>80</x:v>
      </x:c>
      <x:c r="F4" s="73" t="n">
        <x:v>0.72</x:v>
      </x:c>
      <x:c r="G4" s="73" t="n">
        <x:v>3</x:v>
      </x:c>
      <x:c r="H4" s="74" t="n">
        <x:v>2</x:v>
      </x:c>
      <x:c r="I4" s="42" t="n">
        <x:f>35*(1-B4/2500000)+20*F4+15*(1-C4/200)+10*(1-D4/1000)+10*(1-E4/1000)+10*(G4/5)-10*(H4/5)</x:f>
        <x:v>68.55</x:v>
      </x:c>
    </x:row>
    <x:row r="5">
      <x:c r="A5" s="75" t="str">
        <x:v>Shared regional AI service</x:v>
      </x:c>
      <x:c r="B5" s="40" t="n">
        <x:v>1450000</x:v>
      </x:c>
      <x:c r="C5" s="40" t="n">
        <x:v>70</x:v>
      </x:c>
      <x:c r="D5" s="40" t="n">
        <x:v>300</x:v>
      </x:c>
      <x:c r="E5" s="40" t="n">
        <x:v>120</x:v>
      </x:c>
      <x:c r="F5" s="40" t="n">
        <x:v>0.82</x:v>
      </x:c>
      <x:c r="G5" s="40" t="n">
        <x:v>4</x:v>
      </x:c>
      <x:c r="H5" s="76" t="n">
        <x:v>3</x:v>
      </x:c>
      <x:c r="I5" s="43" t="n">
        <x:f>35*(1-B5/2500000)+20*F5+15*(1-C5/200)+10*(1-D5/1000)+10*(1-E5/1000)+10*(G5/5)-10*(H5/5)</x:f>
        <x:v>58.650000000000006</x:v>
      </x:c>
    </x:row>
    <x:row r="6">
      <x:c r="A6" s="75" t="str">
        <x:v>New on-premises GPU cluster</x:v>
      </x:c>
      <x:c r="B6" s="40" t="n">
        <x:v>2100000</x:v>
      </x:c>
      <x:c r="C6" s="40" t="n">
        <x:v>180</x:v>
      </x:c>
      <x:c r="D6" s="40" t="n">
        <x:v>250</x:v>
      </x:c>
      <x:c r="E6" s="40" t="n">
        <x:v>900</x:v>
      </x:c>
      <x:c r="F6" s="40" t="n">
        <x:v>0.44</x:v>
      </x:c>
      <x:c r="G6" s="40" t="n">
        <x:v>4</x:v>
      </x:c>
      <x:c r="H6" s="76" t="n">
        <x:v>2</x:v>
      </x:c>
      <x:c r="I6" s="43" t="n">
        <x:f>35*(1-B6/2500000)+20*F6+15*(1-C6/200)+10*(1-D6/1000)+10*(1-E6/1000)+10*(G6/5)-10*(H6/5)</x:f>
        <x:v>28.400000000000006</x:v>
      </x:c>
    </x:row>
    <x:row r="7">
      <x:c r="A7" s="77" t="str">
        <x:v>Commercial cloud expansion</x:v>
      </x:c>
      <x:c r="B7" s="78" t="n">
        <x:v>1850000</x:v>
      </x:c>
      <x:c r="C7" s="78" t="n">
        <x:v>120</x:v>
      </x:c>
      <x:c r="D7" s="78" t="n">
        <x:v>900</x:v>
      </x:c>
      <x:c r="E7" s="78" t="n">
        <x:v>40</x:v>
      </x:c>
      <x:c r="F7" s="78" t="n">
        <x:v>0.78</x:v>
      </x:c>
      <x:c r="G7" s="78" t="n">
        <x:v>3</x:v>
      </x:c>
      <x:c r="H7" s="79" t="n">
        <x:v>4</x:v>
      </x:c>
      <x:c r="I7" s="44" t="n">
        <x:f>35*(1-B7/2500000)+20*F7+15*(1-C7/200)+10*(1-D7/1000)+10*(1-E7/1000)+10*(G7/5)-10*(H7/5)</x:f>
        <x:v>39.300000000000004</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5" t="str">
        <x:v>Blank template - replace synthetic values with governed local evidence</x:v>
      </x:c>
      <x:c r="B1" s="5"/>
      <x:c r="C1" s="5"/>
      <x:c r="D1" s="5"/>
      <x:c r="E1" s="5"/>
      <x:c r="F1" s="5"/>
      <x:c r="G1" s="5"/>
      <x:c r="H1" s="5"/>
    </x:row>
    <x:row r="3">
      <x:c r="A3" s="57" t="str">
        <x:v>Option</x:v>
      </x:c>
      <x:c r="B3" s="58" t="str">
        <x:v>Five-year cost</x:v>
      </x:c>
      <x:c r="C3" s="58" t="str">
        <x:v>Energy MWh/year</x:v>
      </x:c>
      <x:c r="D3" s="58" t="str">
        <x:v>Water m3/year</x:v>
      </x:c>
      <x:c r="E3" s="58" t="str">
        <x:v>New hardware kg</x:v>
      </x:c>
      <x:c r="F3" s="58" t="str">
        <x:v>Average utilization</x:v>
      </x:c>
      <x:c r="G3" s="58" t="str">
        <x:v>Resilience score (1-5)</x:v>
      </x:c>
      <x:c r="H3" s="59" t="str">
        <x:v>Governance risk (1-5)</x:v>
      </x:c>
    </x:row>
    <x:row r="4">
      <x:c r="A4" s="72" t="str">
        <x:v>Optimize existing models and scheduling</x:v>
      </x:c>
      <x:c r="B4" s="73" t="str"/>
      <x:c r="C4" s="73" t="str"/>
      <x:c r="D4" s="73" t="str"/>
      <x:c r="E4" s="73" t="str"/>
      <x:c r="F4" s="73" t="str"/>
      <x:c r="G4" s="73" t="str"/>
      <x:c r="H4" s="74" t="str"/>
    </x:row>
    <x:row r="5">
      <x:c r="A5" s="75" t="str">
        <x:v>Shared regional AI service</x:v>
      </x:c>
      <x:c r="B5" s="40" t="str"/>
      <x:c r="C5" s="40" t="str"/>
      <x:c r="D5" s="40" t="str"/>
      <x:c r="E5" s="40" t="str"/>
      <x:c r="F5" s="40" t="str"/>
      <x:c r="G5" s="40" t="str"/>
      <x:c r="H5" s="76" t="str"/>
    </x:row>
    <x:row r="6">
      <x:c r="A6" s="75" t="str">
        <x:v>New on-premises GPU cluster</x:v>
      </x:c>
      <x:c r="B6" s="40" t="str"/>
      <x:c r="C6" s="40" t="str"/>
      <x:c r="D6" s="40" t="str"/>
      <x:c r="E6" s="40" t="str"/>
      <x:c r="F6" s="40" t="str"/>
      <x:c r="G6" s="40" t="str"/>
      <x:c r="H6" s="76" t="str"/>
    </x:row>
    <x:row r="7">
      <x:c r="A7" s="77" t="str">
        <x:v>Commercial cloud expansion</x:v>
      </x:c>
      <x:c r="B7" s="78" t="str"/>
      <x:c r="C7" s="78" t="str"/>
      <x:c r="D7" s="78" t="str"/>
      <x:c r="E7" s="78" t="str"/>
      <x:c r="F7" s="78" t="str"/>
      <x:c r="G7" s="78" t="str"/>
      <x:c r="H7" s="79" t="str"/>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Circular AI Infrastructure Strategy</x:v>
      </x:c>
      <x:c r="B1" s="5"/>
      <x:c r="C1" s="5"/>
      <x:c r="D1" s="5"/>
      <x:c r="E1" s="5"/>
      <x:c r="F1" s="5"/>
    </x:row>
    <x:row r="2">
      <x:c r="A2" s="5"/>
      <x:c r="B2" s="5"/>
      <x:c r="C2" s="5"/>
      <x:c r="D2" s="5"/>
      <x:c r="E2" s="5"/>
      <x:c r="F2" s="5"/>
    </x:row>
    <x:row r="4">
      <x:c r="A4" s="57" t="str">
        <x:v>Reference metric</x:v>
      </x:c>
      <x:c r="B4" s="59" t="str">
        <x:v>Synthetic result</x:v>
      </x:c>
    </x:row>
    <x:row r="5">
      <x:c r="A5" s="72" t="str">
        <x:v>Preferred sequence</x:v>
      </x:c>
      <x:c r="B5" s="74" t="str">
        <x:v>Optimize existing workloads, then use shared regional capacity</x:v>
      </x:c>
    </x:row>
    <x:row r="6">
      <x:c r="A6" s="77" t="str">
        <x:v>Deferred option</x:v>
      </x:c>
      <x:c r="B6" s="79" t="str">
        <x:v>New on-premises cluster pending demonstrated need</x:v>
      </x:c>
    </x:row>
    <x:row r="8">
      <x:c r="A8" s="97" t="str">
        <x:v>Worked interpretation</x:v>
      </x:c>
      <x:c r="B8" s="97"/>
      <x:c r="C8" s="97"/>
      <x:c r="D8" s="97"/>
      <x:c r="E8" s="97"/>
      <x:c r="F8" s="97"/>
    </x:row>
    <x:row r="9">
      <x:c r="A9" s="102" t="str">
        <x:v>The circularity hierarchy directs the system to avoid or reduce new demand before purchasing additional hardware. Model optimization and scheduling have the lowest cost and material demand. Shared regional capacity offers high utilization and resilience but requires robust governance. The recommended strategy is to optimize first, use shared capacity for incremental demand, and defer a new cluster until need is demonstrated.</x:v>
      </x:c>
      <x:c r="B9" s="102"/>
      <x:c r="C9" s="102"/>
      <x:c r="D9" s="102"/>
      <x:c r="E9" s="102"/>
      <x:c r="F9" s="102"/>
    </x:row>
    <x:row r="10">
      <x:c r="A10" s="102"/>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5">
      <x:c r="A15" s="108" t="str">
        <x:v>Interpret calculations with evidence quality, uncertainty, mandatory safeguards, implementation capacity, monitoring, and exit conditions.</x:v>
      </x:c>
      <x:c r="B15" s="108"/>
      <x:c r="C15" s="108"/>
      <x:c r="D15" s="108"/>
      <x:c r="E15" s="108"/>
      <x:c r="F15" s="108"/>
    </x:row>
  </x:sheetData>
  <x:mergeCells>
    <x:mergeCell ref="A1:F2"/>
    <x:mergeCell ref="A8:F8"/>
    <x:mergeCell ref="A9:F13"/>
    <x:mergeCell ref="A15:F15"/>
  </x:mergeCells>
  <x:pageMargins left="0.7" right="0.7" top="0.75" bottom="0.75" header="0.3" footer="0.3"/>
</x:worksheet>
</file>