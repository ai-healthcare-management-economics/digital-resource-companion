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f1750e405874e42" /></Relationships>
</file>

<file path=xl/workbook.xml><?xml version="1.0" encoding="utf-8"?>
<x:workbook xmlns:x="http://schemas.openxmlformats.org/spreadsheetml/2006/main">
  <x:sheets>
    <x:sheet xmlns:r="http://schemas.openxmlformats.org/officeDocument/2006/relationships" name="Guide" sheetId="1" r:id="R5f7a15f98998485f"/>
    <x:sheet xmlns:r="http://schemas.openxmlformats.org/officeDocument/2006/relationships" name="Worked Inputs" sheetId="2" r:id="R303c8daf8367445d"/>
    <x:sheet xmlns:r="http://schemas.openxmlformats.org/officeDocument/2006/relationships" name="Blank Template" sheetId="3" r:id="Red9f4c52ae224199"/>
    <x:sheet xmlns:r="http://schemas.openxmlformats.org/officeDocument/2006/relationships" name="Decision Summary" sheetId="4" r:id="R9bfa4f8b15e4470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23313D"/>
      <x:name val="Carlito"/>
    </x:font>
    <x:font>
      <x:b/>
      <x:sz val="11"/>
      <x:color rgb="FFFFFFFF"/>
      <x:name val="Carlito"/>
    </x:font>
    <x:font>
      <x:i/>
      <x:sz val="11"/>
      <x:name val="Carlito"/>
    </x:font>
  </x:fonts>
  <x:fills count="7">
    <x:fill>
      <x:patternFill patternType="none"/>
    </x:fill>
    <x:fill>
      <x:patternFill patternType="gray125"/>
    </x:fill>
    <x:fill>
      <x:patternFill patternType="solid">
        <x:fgColor rgb="FF7A1731"/>
      </x:patternFill>
    </x:fill>
    <x:fill>
      <x:patternFill patternType="solid">
        <x:fgColor rgb="FFE8DDD5"/>
      </x:patternFill>
    </x:fill>
    <x:fill>
      <x:patternFill patternType="solid">
        <x:fgColor rgb="FFB38A52"/>
      </x:patternFill>
    </x:fill>
    <x:fill>
      <x:patternFill patternType="solid">
        <x:fgColor rgb="FFF7F3EF"/>
      </x:patternFill>
    </x:fill>
    <x:fill>
      <x:patternFill patternType="solid">
        <x:fgColor rgb="FFFFF3CD"/>
      </x:patternFill>
    </x:fill>
  </x:fills>
  <x:borders count="38">
    <x:border/>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B7A89F"/>
      </x:left>
      <x:right style="thin">
        <x:color rgb="FFB7A89F"/>
      </x:right>
      <x:top style="thin">
        <x:color rgb="FFB7A89F"/>
      </x:top>
    </x:border>
    <x:border>
      <x:left style="thin">
        <x:color rgb="FFB7A89F"/>
      </x:left>
      <x:right style="thin">
        <x:color rgb="FFB7A89F"/>
      </x:right>
    </x:border>
    <x:border>
      <x:left style="thin">
        <x:color rgb="FFB7A89F"/>
      </x:left>
      <x:right style="thin">
        <x:color rgb="FFB7A89F"/>
      </x:right>
      <x:bottom style="thin">
        <x:color rgb="FFB7A89F"/>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DED6D0"/>
      </x:left>
      <x:right style="thin">
        <x:color rgb="FFDED6D0"/>
      </x:right>
      <x:top style="thin">
        <x:color rgb="FFDED6D0"/>
      </x:top>
    </x:border>
    <x:border>
      <x:left style="thin">
        <x:color rgb="FFDED6D0"/>
      </x:left>
      <x:right style="thin">
        <x:color rgb="FFDED6D0"/>
      </x:right>
    </x:border>
    <x:border>
      <x:left style="thin">
        <x:color rgb="FFDED6D0"/>
      </x:left>
      <x:right style="thin">
        <x:color rgb="FFDED6D0"/>
      </x:right>
      <x:bottom style="thin">
        <x:color rgb="FFDED6D0"/>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B7A89F"/>
      </x:left>
      <x:top style="thin">
        <x:color rgb="FFB7A89F"/>
      </x:top>
      <x:bottom style="thin">
        <x:color rgb="FFB7A89F"/>
      </x:bottom>
    </x:border>
    <x:border>
      <x:top style="thin">
        <x:color rgb="FFB7A89F"/>
      </x:top>
      <x:bottom style="thin">
        <x:color rgb="FFB7A89F"/>
      </x:bottom>
    </x:border>
    <x:border>
      <x:right style="thin">
        <x:color rgb="FFB7A89F"/>
      </x:right>
      <x:top style="thin">
        <x:color rgb="FFB7A89F"/>
      </x:top>
      <x:bottom style="thin">
        <x:color rgb="FFB7A89F"/>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DED6D0"/>
      </x:left>
      <x:top style="thin">
        <x:color rgb="FFDED6D0"/>
      </x:top>
    </x:border>
    <x:border>
      <x:top style="thin">
        <x:color rgb="FFDED6D0"/>
      </x:top>
    </x:border>
    <x:border>
      <x:right style="thin">
        <x:color rgb="FFDED6D0"/>
      </x:right>
      <x:top style="thin">
        <x:color rgb="FFDED6D0"/>
      </x:top>
    </x:border>
    <x:border>
      <x:left style="thin">
        <x:color rgb="FFDED6D0"/>
      </x:left>
    </x:border>
    <x:border>
      <x:right style="thin">
        <x:color rgb="FFDED6D0"/>
      </x:right>
    </x:border>
    <x:border>
      <x:left style="thin">
        <x:color rgb="FFDED6D0"/>
      </x:left>
      <x:bottom style="thin">
        <x:color rgb="FFDED6D0"/>
      </x:bottom>
    </x:border>
    <x:border>
      <x:bottom style="thin">
        <x:color rgb="FFDED6D0"/>
      </x:bottom>
    </x:border>
    <x:border>
      <x:right style="thin">
        <x:color rgb="FFDED6D0"/>
      </x:right>
      <x:bottom style="thin">
        <x:color rgb="FFDED6D0"/>
      </x:bottom>
    </x:border>
    <x:border>
      <x:left style="thin">
        <x:color rgb="FFB7A89F"/>
      </x:left>
      <x:right style="thin">
        <x:color rgb="FFB7A89F"/>
      </x:right>
      <x:top style="thin">
        <x:color rgb="FFB7A89F"/>
      </x:top>
      <x:bottom style="thin">
        <x:color rgb="FFB7A89F"/>
      </x:bottom>
    </x:border>
    <x:border>
      <x:left style="thin">
        <x:color rgb="FFB7A89F"/>
      </x:left>
      <x:right style="thin">
        <x:color rgb="FFB7A89F"/>
      </x:right>
      <x:top style="thin">
        <x:color rgb="FFB7A89F"/>
      </x:top>
      <x:bottom style="thin">
        <x:color rgb="FFB7A89F"/>
      </x:bottom>
    </x:border>
  </x:borders>
  <x:cellStyleXfs count="1">
    <x:xf numFmtId="0" fontId="0" fillId="0" borderId="0"/>
  </x:cellStyleXfs>
  <x:cellXfs count="10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re"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vertical="centre" wrapText="1"/>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2" xfId="0" applyNumberFormat="1" applyFont="1" applyFill="1" applyBorder="1" applyAlignment="1">
      <x:alignment horizontal="centre" wrapText="1"/>
    </x:xf>
    <x:xf numFmtId="0" fontId="2" fillId="3" borderId="3" xfId="0" applyNumberFormat="1" applyFont="1" applyFill="1" applyBorder="1" applyAlignment="1">
      <x:alignment horizontal="centre" wrapText="1"/>
    </x:xf>
    <x:xf numFmtId="0" fontId="2" fillId="3" borderId="4" xfId="0" applyNumberFormat="1" applyFont="1" applyFill="1" applyBorder="1" applyAlignment="1">
      <x:alignment horizontal="centre" wrapText="1"/>
    </x:xf>
    <x:xf numFmtId="0" fontId="2" fillId="3" borderId="2" xfId="0" applyNumberFormat="1" applyFont="1" applyFill="1" applyBorder="1" applyAlignment="1">
      <x:alignment horizontal="centre" vertical="centre" wrapText="1"/>
    </x:xf>
    <x:xf numFmtId="0" fontId="2" fillId="3" borderId="3" xfId="0" applyNumberFormat="1" applyFont="1" applyFill="1" applyBorder="1" applyAlignment="1">
      <x:alignment horizontal="centre" vertical="centre" wrapText="1"/>
    </x:xf>
    <x:xf numFmtId="0" fontId="2" fillId="3" borderId="4" xfId="0" applyNumberFormat="1" applyFont="1" applyFill="1" applyBorder="1" applyAlignment="1">
      <x:alignment horizontal="centre" vertical="centre" wrapText="1"/>
    </x:xf>
    <x:xf numFmtId="0" fontId="0" fillId="3" borderId="1" xfId="0" applyNumberFormat="1" applyFont="1" applyFill="1" applyBorder="1"/>
    <x:xf numFmtId="0" fontId="2" fillId="3" borderId="1"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5" xfId="0" applyNumberFormat="1" applyFont="1" applyFill="1" applyBorder="1" applyAlignment="1">
      <x:alignment horizontal="centre" wrapText="1"/>
    </x:xf>
    <x:xf numFmtId="0" fontId="2" fillId="3" borderId="6" xfId="0" applyNumberFormat="1" applyFont="1" applyFill="1" applyBorder="1" applyAlignment="1">
      <x:alignment horizontal="centre" wrapText="1"/>
    </x:xf>
    <x:xf numFmtId="0" fontId="2" fillId="3" borderId="7" xfId="0" applyNumberFormat="1" applyFont="1" applyFill="1" applyBorder="1" applyAlignment="1">
      <x:alignment horizontal="centre" wrapText="1"/>
    </x:xf>
    <x:xf numFmtId="0" fontId="2" fillId="3" borderId="5" xfId="0" applyNumberFormat="1" applyFont="1" applyFill="1" applyBorder="1" applyAlignment="1">
      <x:alignment horizontal="centre" vertical="centre" wrapText="1"/>
    </x:xf>
    <x:xf numFmtId="0" fontId="2" fillId="3" borderId="6" xfId="0" applyNumberFormat="1" applyFont="1" applyFill="1" applyBorder="1" applyAlignment="1">
      <x:alignment horizontal="centre" vertical="centre" wrapText="1"/>
    </x:xf>
    <x:xf numFmtId="0" fontId="2" fillId="3" borderId="7" xfId="0" applyNumberFormat="1" applyFont="1" applyFill="1" applyBorder="1" applyAlignment="1">
      <x:alignment horizontal="centre" vertical="centre"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2" fillId="3" borderId="14" xfId="0" applyNumberFormat="1" applyFont="1" applyFill="1" applyBorder="1"/>
    <x:xf numFmtId="0" fontId="2" fillId="3" borderId="15" xfId="0" applyNumberFormat="1" applyFont="1" applyFill="1" applyBorder="1"/>
    <x:xf numFmtId="0" fontId="2" fillId="3" borderId="16" xfId="0" applyNumberFormat="1" applyFont="1" applyFill="1" applyBorder="1"/>
    <x:xf numFmtId="0" fontId="2" fillId="3" borderId="14" xfId="0" applyNumberFormat="1" applyFont="1" applyFill="1" applyBorder="1" applyAlignment="1">
      <x:alignment wrapText="1"/>
    </x:xf>
    <x:xf numFmtId="0" fontId="2" fillId="3" borderId="15" xfId="0" applyNumberFormat="1" applyFont="1" applyFill="1" applyBorder="1" applyAlignment="1">
      <x:alignment wrapText="1"/>
    </x:xf>
    <x:xf numFmtId="0" fontId="2" fillId="3" borderId="16" xfId="0" applyNumberFormat="1" applyFont="1" applyFill="1" applyBorder="1" applyAlignment="1">
      <x:alignment wrapText="1"/>
    </x:xf>
    <x:xf numFmtId="0" fontId="2" fillId="3" borderId="14" xfId="0" applyNumberFormat="1" applyFont="1" applyFill="1" applyBorder="1" applyAlignment="1">
      <x:alignment horizontal="centre" wrapText="1"/>
    </x:xf>
    <x:xf numFmtId="0" fontId="2" fillId="3" borderId="15" xfId="0" applyNumberFormat="1" applyFont="1" applyFill="1" applyBorder="1" applyAlignment="1">
      <x:alignment horizontal="centre" wrapText="1"/>
    </x:xf>
    <x:xf numFmtId="0" fontId="2" fillId="3" borderId="16" xfId="0" applyNumberFormat="1" applyFont="1" applyFill="1" applyBorder="1" applyAlignment="1">
      <x:alignment horizontal="centre" wrapText="1"/>
    </x:xf>
    <x:xf numFmtId="0" fontId="2" fillId="3" borderId="14" xfId="0" applyNumberFormat="1" applyFont="1" applyFill="1" applyBorder="1" applyAlignment="1">
      <x:alignment horizontal="centre" vertical="centre" wrapText="1"/>
    </x:xf>
    <x:xf numFmtId="0" fontId="2" fillId="3" borderId="15" xfId="0" applyNumberFormat="1" applyFont="1" applyFill="1" applyBorder="1" applyAlignment="1">
      <x:alignment horizontal="centre" vertical="centre" wrapText="1"/>
    </x:xf>
    <x:xf numFmtId="0" fontId="2" fillId="3" borderId="16" xfId="0" applyNumberFormat="1" applyFont="1" applyFill="1" applyBorder="1" applyAlignment="1">
      <x:alignment horizontal="centre" vertical="centre" wrapText="1"/>
    </x:xf>
    <x:xf numFmtId="0" fontId="2" fillId="3" borderId="17" xfId="0" applyNumberFormat="1" applyFont="1" applyFill="1" applyBorder="1"/>
    <x:xf numFmtId="0" fontId="2" fillId="3" borderId="18" xfId="0" applyNumberFormat="1" applyFont="1" applyFill="1" applyBorder="1"/>
    <x:xf numFmtId="0" fontId="2" fillId="3" borderId="19" xfId="0" applyNumberFormat="1" applyFont="1" applyFill="1" applyBorder="1"/>
    <x:xf numFmtId="0" fontId="2" fillId="3" borderId="17" xfId="0" applyNumberFormat="1" applyFont="1" applyFill="1" applyBorder="1" applyAlignment="1">
      <x:alignment wrapText="1"/>
    </x:xf>
    <x:xf numFmtId="0" fontId="2" fillId="3" borderId="18"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7" xfId="0" applyNumberFormat="1" applyFont="1" applyFill="1" applyBorder="1" applyAlignment="1">
      <x:alignment horizontal="centre" wrapText="1"/>
    </x:xf>
    <x:xf numFmtId="0" fontId="2" fillId="3" borderId="18" xfId="0" applyNumberFormat="1" applyFont="1" applyFill="1" applyBorder="1" applyAlignment="1">
      <x:alignment horizontal="centre" wrapText="1"/>
    </x:xf>
    <x:xf numFmtId="0" fontId="2" fillId="3" borderId="19" xfId="0" applyNumberFormat="1" applyFont="1" applyFill="1" applyBorder="1" applyAlignment="1">
      <x:alignment horizontal="centre" wrapText="1"/>
    </x:xf>
    <x:xf numFmtId="0" fontId="2" fillId="3" borderId="17" xfId="0" applyNumberFormat="1" applyFont="1" applyFill="1" applyBorder="1" applyAlignment="1">
      <x:alignment horizontal="centre" vertical="centre" wrapText="1"/>
    </x:xf>
    <x:xf numFmtId="0" fontId="2" fillId="3" borderId="18" xfId="0" applyNumberFormat="1" applyFont="1" applyFill="1" applyBorder="1" applyAlignment="1">
      <x:alignment horizontal="centre" vertical="centre" wrapText="1"/>
    </x:xf>
    <x:xf numFmtId="0" fontId="2" fillId="3" borderId="19" xfId="0" applyNumberFormat="1" applyFont="1" applyFill="1" applyBorder="1" applyAlignment="1">
      <x:alignment horizontal="centre" vertical="centre"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0" fillId="0" borderId="30" xfId="0" applyNumberFormat="1" applyFont="1" applyFill="1" applyBorder="1" applyAlignment="1">
      <x:alignment vertical="top" wrapText="1"/>
    </x:xf>
    <x:xf numFmtId="0" fontId="0" fillId="0" borderId="31" xfId="0" applyNumberFormat="1" applyFont="1" applyFill="1" applyBorder="1" applyAlignment="1">
      <x:alignment vertical="top" wrapText="1"/>
    </x:xf>
    <x:xf numFmtId="0" fontId="0" fillId="0" borderId="32" xfId="0" applyNumberFormat="1" applyFont="1" applyFill="1" applyBorder="1" applyAlignment="1">
      <x:alignment vertical="top" wrapText="1"/>
    </x:xf>
    <x:xf numFmtId="0" fontId="0" fillId="0" borderId="33" xfId="0" applyNumberFormat="1" applyFont="1" applyFill="1" applyBorder="1" applyAlignment="1">
      <x:alignment vertical="top" wrapText="1"/>
    </x:xf>
    <x:xf numFmtId="0" fontId="0" fillId="0" borderId="34" xfId="0" applyNumberFormat="1" applyFont="1" applyFill="1" applyBorder="1" applyAlignment="1">
      <x:alignment vertical="top" wrapText="1"/>
    </x:xf>
    <x:xf numFmtId="0" fontId="0" fillId="0" borderId="35" xfId="0" applyNumberFormat="1" applyFont="1" applyFill="1" applyBorder="1" applyAlignment="1">
      <x:alignment vertical="top" wrapText="1"/>
    </x:xf>
    <x:xf numFmtId="0" fontId="2" fillId="3" borderId="36" xfId="0" applyNumberFormat="1" applyFont="1" applyFill="1" applyBorder="1"/>
    <x:xf numFmtId="0" fontId="2" fillId="3" borderId="36" xfId="0" applyNumberFormat="1" applyFont="1" applyFill="1" applyBorder="1" applyAlignment="1">
      <x:alignment wrapText="1"/>
    </x:xf>
    <x:xf numFmtId="0" fontId="2" fillId="3" borderId="36" xfId="0" applyNumberFormat="1" applyFont="1" applyFill="1" applyBorder="1" applyAlignment="1">
      <x:alignment horizontal="centre" wrapText="1"/>
    </x:xf>
    <x:xf numFmtId="0" fontId="2" fillId="3" borderId="36" xfId="0" applyNumberFormat="1" applyFont="1" applyFill="1" applyBorder="1" applyAlignment="1">
      <x:alignment horizontal="centre" vertical="centre" wrapText="1"/>
    </x:xf>
    <x:xf numFmtId="0" fontId="2" fillId="3" borderId="37" xfId="0" applyNumberFormat="1" applyFont="1" applyFill="1" applyBorder="1"/>
    <x:xf numFmtId="0" fontId="2" fillId="3" borderId="37" xfId="0" applyNumberFormat="1" applyFont="1" applyFill="1" applyBorder="1" applyAlignment="1">
      <x:alignment wrapText="1"/>
    </x:xf>
    <x:xf numFmtId="0" fontId="2" fillId="3" borderId="37" xfId="0" applyNumberFormat="1" applyFont="1" applyFill="1" applyBorder="1" applyAlignment="1">
      <x:alignment horizontal="centre" wrapText="1"/>
    </x:xf>
    <x:xf numFmtId="0" fontId="2" fillId="3" borderId="37" xfId="0" applyNumberFormat="1" applyFont="1" applyFill="1" applyBorder="1" applyAlignment="1">
      <x:alignment horizontal="centre" vertical="centre" wrapText="1"/>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0" fillId="5" borderId="0" xfId="0" applyNumberFormat="1" applyFont="1" applyFill="1" applyBorder="1"/>
    <x:xf numFmtId="0" fontId="0" fillId="5" borderId="0" xfId="0" applyNumberFormat="1" applyFont="1" applyFill="1" applyBorder="1" applyAlignment="1">
      <x:alignment wrapText="1"/>
    </x:xf>
    <x:xf numFmtId="0" fontId="0" fillId="5" borderId="0" xfId="0" applyNumberFormat="1" applyFont="1" applyFill="1" applyBorder="1" applyAlignment="1">
      <x:alignment vertical="top" wrapText="1"/>
    </x:xf>
    <x:xf numFmtId="0" fontId="0" fillId="5" borderId="1" xfId="0" applyNumberFormat="1" applyFont="1" applyFill="1" applyBorder="1"/>
    <x:xf numFmtId="0" fontId="0" fillId="5" borderId="1" xfId="0" applyNumberFormat="1" applyFont="1" applyFill="1" applyBorder="1" applyAlignment="1">
      <x:alignment wrapText="1"/>
    </x:xf>
    <x:xf numFmtId="0" fontId="0" fillId="5" borderId="1" xfId="0" applyNumberFormat="1" applyFont="1" applyFill="1" applyBorder="1" applyAlignment="1">
      <x:alignment vertical="top"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4314c7330f44111" /><Relationship Type="http://schemas.openxmlformats.org/officeDocument/2006/relationships/theme" Target="/xl/theme/theme1.xml" Id="Rcd8b413a30c947a6" /><Relationship Type="http://schemas.openxmlformats.org/officeDocument/2006/relationships/sharedStrings" Target="/xl/sharedStrings.xml" Id="R60a1bb1402e34398" /><Relationship Type="http://schemas.openxmlformats.org/officeDocument/2006/relationships/worksheet" Target="/xl/worksheets/sheet1.xml" Id="R5f7a15f98998485f" /><Relationship Type="http://schemas.openxmlformats.org/officeDocument/2006/relationships/worksheet" Target="/xl/worksheets/sheet2.xml" Id="R303c8daf8367445d" /><Relationship Type="http://schemas.openxmlformats.org/officeDocument/2006/relationships/worksheet" Target="/xl/worksheets/sheet3.xml" Id="Red9f4c52ae224199" /><Relationship Type="http://schemas.openxmlformats.org/officeDocument/2006/relationships/worksheet" Target="/xl/worksheets/sheet4.xml" Id="R9bfa4f8b15e4470d" /></Relationships>
</file>

<file path=xl/theme/theme1.xml><?xml version="1.0" encoding="utf-8"?>
<a:theme xmlns:a="http://schemas.openxmlformats.org/drawingml/2006/main" name="AcademicResourceTheme">
  <a:themeElements>
    <a:clrScheme name="AcademicResourceThe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AcademicResourceThem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4" hidden="0" customWidth="1"/>
    <x:col min="2" max="2" width="85" hidden="0" customWidth="1"/>
  </x:cols>
  <x:sheetData>
    <x:row r="1">
      <x:c r="A1" s="5" t="str">
        <x:v>Model Update, Incident Response, and Renewal Decision</x:v>
      </x:c>
      <x:c r="B1" s="5"/>
      <x:c r="C1" s="5"/>
      <x:c r="D1" s="5"/>
      <x:c r="E1" s="5"/>
      <x:c r="F1" s="5"/>
    </x:row>
    <x:row r="2">
      <x:c r="A2" s="5"/>
      <x:c r="B2" s="5"/>
      <x:c r="C2" s="5"/>
      <x:c r="D2" s="5"/>
      <x:c r="E2" s="5"/>
      <x:c r="F2" s="5"/>
    </x:row>
    <x:row r="4">
      <x:c r="A4" s="21" t="str">
        <x:v>Example ID</x:v>
      </x:c>
      <x:c r="B4" s="42" t="str">
        <x:v>AIHE-CASE12</x:v>
      </x:c>
    </x:row>
    <x:row r="5">
      <x:c r="A5" s="22" t="str">
        <x:v>Chapter</x:v>
      </x:c>
      <x:c r="B5" s="43" t="str">
        <x:v>12: Decision Architecture and Lifecycle Governance</x:v>
      </x:c>
    </x:row>
    <x:row r="6">
      <x:c r="A6" s="22" t="str">
        <x:v>Decision question</x:v>
      </x:c>
      <x:c r="B6" s="43" t="str">
        <x:v>Should the organization continue, restrict, roll back, replace, or retire the system after a material update and operational incident?</x:v>
      </x:c>
    </x:row>
    <x:row r="7">
      <x:c r="A7" s="22" t="str">
        <x:v>Status</x:v>
      </x:c>
      <x:c r="B7" s="43" t="str">
        <x:v>Synthetic demonstration only</x:v>
      </x:c>
    </x:row>
    <x:row r="8">
      <x:c r="A8" s="22" t="str">
        <x:v>Version</x:v>
      </x:c>
      <x:c r="B8" s="43" t="str">
        <x:v>V1.0</x:v>
      </x:c>
    </x:row>
    <x:row r="9">
      <x:c r="A9" s="22" t="str">
        <x:v>Release date</x:v>
      </x:c>
      <x:c r="B9" s="43" t="str">
        <x:v>2026-08-06</x:v>
      </x:c>
    </x:row>
    <x:row r="10">
      <x:c r="A10" s="22" t="str">
        <x:v>How to use</x:v>
      </x:c>
      <x:c r="B10" s="43" t="str">
        <x:v>Review Worked Inputs and Calculations; compare with Decision Summary; use Blank Template for local adaptation.</x:v>
      </x:c>
    </x:row>
    <x:row r="11">
      <x:c r="A11" s="22" t="str">
        <x:v>Related resources</x:v>
      </x:c>
      <x:c r="B11" s="43" t="str">
        <x:v>AIHE-D02, AIHE-D03, AIHE-D04, AIHE-D05, AIHE-S, AIHE-EX11, AIHE-EX12</x:v>
      </x:c>
    </x:row>
    <x:row r="12">
      <x:c r="A12" s="23" t="str">
        <x:v>Data protection</x:v>
      </x:c>
      <x:c r="B12" s="44" t="str">
        <x:v>Do not enter identifiable patient information, credentials, private keys, or confidential contract information into uncontrolled copies.</x:v>
      </x:c>
    </x:row>
  </x:sheetData>
  <x:mergeCells>
    <x:mergeCell ref="A1:F2"/>
  </x:mergeCells>
  <x:pageMargins left="0.7" right="0.7" top="0.75" bottom="0.75" header="0.3" footer="0.3"/>
</x:worksheet>
</file>

<file path=xl/worksheets/sheet2.xml><?xml version="1.0" encoding="utf-8"?>
<x:worksheet xmlns:x="http://schemas.openxmlformats.org/spreadsheetml/2006/main">
  <x:sheetFormatPr defaultRowHeight="15"/>
  <x:cols>
    <x:col min="1" max="1" width="32" hidden="0" customWidth="1"/>
    <x:col min="2" max="2" width="20" hidden="0" customWidth="1"/>
    <x:col min="3" max="3" width="20" hidden="0" customWidth="1"/>
    <x:col min="4" max="4" width="20" hidden="0" customWidth="1"/>
    <x:col min="5" max="5" width="18" hidden="0" customWidth="1"/>
    <x:col min="7" max="7" width="22" hidden="0" customWidth="1"/>
    <x:col min="8" max="8" width="56" hidden="0" customWidth="1"/>
  </x:cols>
  <x:sheetData>
    <x:row r="1">
      <x:c r="A1" s="5" t="str">
        <x:v>Worked synthetic inputs and calculations</x:v>
      </x:c>
      <x:c r="B1" s="5"/>
      <x:c r="C1" s="5"/>
      <x:c r="D1" s="5"/>
      <x:c r="E1" s="5"/>
      <x:c r="F1" s="5"/>
      <x:c r="G1" s="5"/>
      <x:c r="H1" s="5"/>
      <x:c r="I1" s="5"/>
    </x:row>
    <x:row r="3">
      <x:c r="A3" s="57" t="str">
        <x:v>Metric</x:v>
      </x:c>
      <x:c r="B3" s="58" t="str">
        <x:v>Version 2.3.1</x:v>
      </x:c>
      <x:c r="C3" s="58" t="str">
        <x:v>Version 2.4.0</x:v>
      </x:c>
      <x:c r="D3" s="59" t="str">
        <x:v>Threshold</x:v>
      </x:c>
      <x:c r="E3" s="91" t="str">
        <x:v>Threshold breach</x:v>
      </x:c>
      <x:c r="G3" s="57" t="str">
        <x:v>Summary</x:v>
      </x:c>
      <x:c r="H3" s="59" t="str">
        <x:v>Formula result</x:v>
      </x:c>
    </x:row>
    <x:row r="4">
      <x:c r="A4" s="72" t="str">
        <x:v>False-positive rate</x:v>
      </x:c>
      <x:c r="B4" s="73" t="n">
        <x:v>0.18</x:v>
      </x:c>
      <x:c r="C4" s="73" t="n">
        <x:v>0.32</x:v>
      </x:c>
      <x:c r="D4" s="74" t="n">
        <x:v>0.26</x:v>
      </x:c>
      <x:c r="E4" s="42" t="str">
        <x:f>IF(C4&gt;D4,"BREACH","")</x:f>
        <x:v>BREACH</x:v>
      </x:c>
      <x:c r="G4" s="72" t="str">
        <x:v>Breached controls</x:v>
      </x:c>
      <x:c r="H4" s="74" t="n">
        <x:f>COUNTIF(E4:E9,"BREACH")</x:f>
        <x:v>4</x:v>
      </x:c>
    </x:row>
    <x:row r="5">
      <x:c r="A5" s="75" t="str">
        <x:v>Alerts per day</x:v>
      </x:c>
      <x:c r="B5" s="40" t="n">
        <x:v>120</x:v>
      </x:c>
      <x:c r="C5" s="40" t="n">
        <x:v>210</x:v>
      </x:c>
      <x:c r="D5" s="76" t="n">
        <x:v>150</x:v>
      </x:c>
      <x:c r="E5" s="43" t="str">
        <x:f>IF(C5&gt;D5,"BREACH","")</x:f>
        <x:v>BREACH</x:v>
      </x:c>
      <x:c r="G5" s="77" t="str">
        <x:v>Decision</x:v>
      </x:c>
      <x:c r="H5" s="79" t="str">
        <x:f>IF(H4&gt;0,"Restrict and roll back where safe; revalidate before restart","Continue enhanced monitoring")</x:f>
        <x:v>Restrict and roll back where safe; revalidate before restart</x:v>
      </x:c>
    </x:row>
    <x:row r="6">
      <x:c r="A6" s="75" t="str">
        <x:v>Review capacity per day</x:v>
      </x:c>
      <x:c r="B6" s="40" t="n">
        <x:v>150</x:v>
      </x:c>
      <x:c r="C6" s="40" t="n">
        <x:v>150</x:v>
      </x:c>
      <x:c r="D6" s="76" t="n">
        <x:v>150</x:v>
      </x:c>
      <x:c r="E6" s="43" t="str">
        <x:f>IF(C6&gt;D6,"BREACH","")</x:f>
      </x:c>
    </x:row>
    <x:row r="7">
      <x:c r="A7" s="75" t="str">
        <x:v>Median response time (minutes)</x:v>
      </x:c>
      <x:c r="B7" s="40" t="n">
        <x:v>12</x:v>
      </x:c>
      <x:c r="C7" s="40" t="n">
        <x:v>28</x:v>
      </x:c>
      <x:c r="D7" s="76" t="n">
        <x:v>20</x:v>
      </x:c>
      <x:c r="E7" s="43" t="str">
        <x:f>IF(C7&gt;D7,"BREACH","")</x:f>
        <x:v>BREACH</x:v>
      </x:c>
    </x:row>
    <x:row r="8">
      <x:c r="A8" s="75" t="str">
        <x:v>Near misses per month</x:v>
      </x:c>
      <x:c r="B8" s="40" t="n">
        <x:v>0</x:v>
      </x:c>
      <x:c r="C8" s="40" t="n">
        <x:v>3</x:v>
      </x:c>
      <x:c r="D8" s="76" t="n">
        <x:v>0</x:v>
      </x:c>
      <x:c r="E8" s="43" t="str">
        <x:f>IF(C8&gt;D8,"BREACH","")</x:f>
        <x:v>BREACH</x:v>
      </x:c>
    </x:row>
    <x:row r="9">
      <x:c r="A9" s="77" t="str">
        <x:v>Downtime hours per month</x:v>
      </x:c>
      <x:c r="B9" s="78" t="n">
        <x:v>1</x:v>
      </x:c>
      <x:c r="C9" s="78" t="n">
        <x:v>1.5</x:v>
      </x:c>
      <x:c r="D9" s="79" t="n">
        <x:v>4</x:v>
      </x:c>
      <x:c r="E9" s="44" t="str">
        <x:f>IF(C9&gt;D9,"BREACH","")</x:f>
      </x:c>
    </x:row>
  </x:sheetData>
  <x:mergeCells>
    <x:mergeCell ref="A1:I1"/>
  </x:mergeCells>
  <x:pageMargins left="0.7" right="0.7" top="0.75" bottom="0.75" header="0.3" footer="0.3"/>
</x:worksheet>
</file>

<file path=xl/worksheets/sheet3.xml><?xml version="1.0" encoding="utf-8"?>
<x:worksheet xmlns:x="http://schemas.openxmlformats.org/spreadsheetml/2006/main">
  <x:sheetFormatPr defaultRowHeight="15"/>
  <x:cols>
    <x:col min="1" max="1" width="32" hidden="0" customWidth="1"/>
    <x:col min="2" max="2" width="22" hidden="0" customWidth="1"/>
    <x:col min="3" max="3" width="22" hidden="0" customWidth="1"/>
    <x:col min="4" max="4" width="22" hidden="0" customWidth="1"/>
  </x:cols>
  <x:sheetData>
    <x:row r="1">
      <x:c r="A1" s="5" t="str">
        <x:v>Blank template - replace synthetic values with governed local evidence</x:v>
      </x:c>
      <x:c r="B1" s="5"/>
      <x:c r="C1" s="5"/>
      <x:c r="D1" s="5"/>
    </x:row>
    <x:row r="3">
      <x:c r="A3" s="57" t="str">
        <x:v>Metric</x:v>
      </x:c>
      <x:c r="B3" s="58" t="str">
        <x:v>Version 2.3.1</x:v>
      </x:c>
      <x:c r="C3" s="58" t="str">
        <x:v>Version 2.4.0</x:v>
      </x:c>
      <x:c r="D3" s="59" t="str">
        <x:v>Threshold</x:v>
      </x:c>
    </x:row>
    <x:row r="4">
      <x:c r="A4" s="72" t="str">
        <x:v>False-positive rate</x:v>
      </x:c>
      <x:c r="B4" s="73" t="str"/>
      <x:c r="C4" s="73" t="str"/>
      <x:c r="D4" s="74" t="n">
        <x:v>0.26</x:v>
      </x:c>
    </x:row>
    <x:row r="5">
      <x:c r="A5" s="75" t="str">
        <x:v>Alerts per day</x:v>
      </x:c>
      <x:c r="B5" s="40" t="str"/>
      <x:c r="C5" s="40" t="str"/>
      <x:c r="D5" s="76" t="n">
        <x:v>150</x:v>
      </x:c>
    </x:row>
    <x:row r="6">
      <x:c r="A6" s="75" t="str">
        <x:v>Review capacity per day</x:v>
      </x:c>
      <x:c r="B6" s="40" t="str"/>
      <x:c r="C6" s="40" t="str"/>
      <x:c r="D6" s="76" t="n">
        <x:v>150</x:v>
      </x:c>
    </x:row>
    <x:row r="7">
      <x:c r="A7" s="75" t="str">
        <x:v>Median response time (minutes)</x:v>
      </x:c>
      <x:c r="B7" s="40" t="str"/>
      <x:c r="C7" s="40" t="str"/>
      <x:c r="D7" s="76" t="n">
        <x:v>20</x:v>
      </x:c>
    </x:row>
    <x:row r="8">
      <x:c r="A8" s="75" t="str">
        <x:v>Near misses per month</x:v>
      </x:c>
      <x:c r="B8" s="40" t="str"/>
      <x:c r="C8" s="40" t="str"/>
      <x:c r="D8" s="76" t="n">
        <x:v>0</x:v>
      </x:c>
    </x:row>
    <x:row r="9">
      <x:c r="A9" s="77" t="str">
        <x:v>Downtime hours per month</x:v>
      </x:c>
      <x:c r="B9" s="78" t="str"/>
      <x:c r="C9" s="78" t="str"/>
      <x:c r="D9" s="79" t="n">
        <x:v>4</x:v>
      </x:c>
    </x:row>
  </x:sheetData>
  <x:mergeCells>
    <x:mergeCell ref="A1:D1"/>
  </x:mergeCells>
  <x:pageMargins left="0.7" right="0.7" top="0.75" bottom="0.75" header="0.3" footer="0.3"/>
</x:worksheet>
</file>

<file path=xl/worksheets/sheet4.xml><?xml version="1.0" encoding="utf-8"?>
<x:worksheet xmlns:x="http://schemas.openxmlformats.org/spreadsheetml/2006/main">
  <x:sheetFormatPr defaultRowHeight="15"/>
  <x:cols>
    <x:col min="1" max="1" width="32" hidden="0" customWidth="1"/>
    <x:col min="2" max="2" width="38" hidden="0" customWidth="1"/>
    <x:col min="3" max="3" width="18" hidden="0" customWidth="1"/>
    <x:col min="4" max="4" width="18" hidden="0" customWidth="1"/>
    <x:col min="5" max="5" width="18" hidden="0" customWidth="1"/>
    <x:col min="6" max="6" width="18" hidden="0" customWidth="1"/>
  </x:cols>
  <x:sheetData>
    <x:row r="1">
      <x:c r="A1" s="5" t="str">
        <x:v>Model Update, Incident Response, and Renewal Decision</x:v>
      </x:c>
      <x:c r="B1" s="5"/>
      <x:c r="C1" s="5"/>
      <x:c r="D1" s="5"/>
      <x:c r="E1" s="5"/>
      <x:c r="F1" s="5"/>
    </x:row>
    <x:row r="2">
      <x:c r="A2" s="5"/>
      <x:c r="B2" s="5"/>
      <x:c r="C2" s="5"/>
      <x:c r="D2" s="5"/>
      <x:c r="E2" s="5"/>
      <x:c r="F2" s="5"/>
    </x:row>
    <x:row r="4">
      <x:c r="A4" s="57" t="str">
        <x:v>Reference metric</x:v>
      </x:c>
      <x:c r="B4" s="59" t="str">
        <x:v>Synthetic result</x:v>
      </x:c>
    </x:row>
    <x:row r="5">
      <x:c r="A5" s="72" t="str">
        <x:v>Breached controls</x:v>
      </x:c>
      <x:c r="B5" s="74" t="str">
        <x:v>False positives, alert volume, response time, near misses</x:v>
      </x:c>
    </x:row>
    <x:row r="6">
      <x:c r="A6" s="77" t="str">
        <x:v>Decision</x:v>
      </x:c>
      <x:c r="B6" s="79" t="str">
        <x:v>Restrict, roll back, reconstruct, and revalidate</x:v>
      </x:c>
    </x:row>
    <x:row r="8">
      <x:c r="A8" s="97" t="str">
        <x:v>Worked interpretation</x:v>
      </x:c>
      <x:c r="B8" s="97"/>
      <x:c r="C8" s="97"/>
      <x:c r="D8" s="97"/>
      <x:c r="E8" s="97"/>
      <x:c r="F8" s="97"/>
    </x:row>
    <x:row r="9">
      <x:c r="A9" s="102" t="str">
        <x:v>Version 2.4.0 breaches false-positive, alert-volume, response-time, and near-miss thresholds. Use should be restricted immediately, evidence preserved, and rollback to 2.3.1 performed where safe. Restart should depend on local testing of the model, interface, threshold, and workflow under realistic capacity. Renewal should require improved update notice, audit access, rollback support, and effectiveness evidence.</x:v>
      </x:c>
      <x:c r="B9" s="102"/>
      <x:c r="C9" s="102"/>
      <x:c r="D9" s="102"/>
      <x:c r="E9" s="102"/>
      <x:c r="F9" s="102"/>
    </x:row>
    <x:row r="10">
      <x:c r="A10" s="102"/>
      <x:c r="B10" s="102"/>
      <x:c r="C10" s="102"/>
      <x:c r="D10" s="102"/>
      <x:c r="E10" s="102"/>
      <x:c r="F10" s="102"/>
    </x:row>
    <x:row r="11">
      <x:c r="A11" s="102"/>
      <x:c r="B11" s="102"/>
      <x:c r="C11" s="102"/>
      <x:c r="D11" s="102"/>
      <x:c r="E11" s="102"/>
      <x:c r="F11" s="102"/>
    </x:row>
    <x:row r="12">
      <x:c r="A12" s="102"/>
      <x:c r="B12" s="102"/>
      <x:c r="C12" s="102"/>
      <x:c r="D12" s="102"/>
      <x:c r="E12" s="102"/>
      <x:c r="F12" s="102"/>
    </x:row>
    <x:row r="13">
      <x:c r="A13" s="102"/>
      <x:c r="B13" s="102"/>
      <x:c r="C13" s="102"/>
      <x:c r="D13" s="102"/>
      <x:c r="E13" s="102"/>
      <x:c r="F13" s="102"/>
    </x:row>
    <x:row r="15">
      <x:c r="A15" s="108" t="str">
        <x:v>Interpret calculations with evidence quality, uncertainty, mandatory safeguards, implementation capacity, monitoring, and exit conditions.</x:v>
      </x:c>
      <x:c r="B15" s="108"/>
      <x:c r="C15" s="108"/>
      <x:c r="D15" s="108"/>
      <x:c r="E15" s="108"/>
      <x:c r="F15" s="108"/>
    </x:row>
  </x:sheetData>
  <x:mergeCells>
    <x:mergeCell ref="A1:F2"/>
    <x:mergeCell ref="A8:F8"/>
    <x:mergeCell ref="A9:F13"/>
    <x:mergeCell ref="A15:F15"/>
  </x:mergeCells>
  <x:pageMargins left="0.7" right="0.7" top="0.75" bottom="0.75" header="0.3" footer="0.3"/>
</x:worksheet>
</file>