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3658e97d4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989218a1012499a"/>
    <x:sheet xmlns:r="http://schemas.openxmlformats.org/officeDocument/2006/relationships" name="S1T1_Main_Blank" sheetId="2" r:id="Ra21a5b3ca1d44994"/>
    <x:sheet xmlns:r="http://schemas.openxmlformats.org/officeDocument/2006/relationships" name="S1T1_Main_Worked" sheetId="3" r:id="R82b275f44b3b4cb5"/>
    <x:sheet xmlns:r="http://schemas.openxmlformats.org/officeDocument/2006/relationships" name="ROI_Calculator" sheetId="4" r:id="R1d4d1947e548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7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5" borderId="0" xfId="0"/>
    <x:xf numFmtId="0" fontId="0" fillId="5" borderId="0" xfId="0" applyAlignment="1">
      <x:alignment wrapText="1"/>
    </x:xf>
    <x:xf numFmtId="0" fontId="0" fillId="5" borderId="1" xfId="0"/>
    <x:xf numFmtId="0" fontId="0" fillId="5" borderId="1" xfId="0" applyAlignment="1">
      <x:alignment wrapText="1"/>
    </x:xf>
    <x:xf numFmtId="4" fontId="0" fillId="5" borderId="0" xfId="0" applyAlignment="1">
      <x:alignment vertical="top" wrapText="1"/>
    </x:xf>
    <x:xf numFmtId="4" fontId="0" fillId="0" borderId="0" xfId="0"/>
    <x:xf numFmtId="4" fontId="0" fillId="5" borderId="1" xfId="0" applyAlignment="1">
      <x:alignment vertical="top" wrapText="1"/>
    </x:xf>
    <x:xf numFmtId="4" fontId="0" fillId="0" borderId="1" xfId="0"/>
    <x:xf numFmtId="164" fontId="0" fillId="0" borderId="0" xfId="0"/>
    <x:xf numFmtId="164" fontId="0" fillId="5" borderId="0" xfId="0" applyAlignment="1">
      <x:alignment vertical="top" wrapText="1"/>
    </x:xf>
    <x:xf numFmtId="4" fontId="0" fillId="5" borderId="0" xfId="0" applyAlignment="1">
      <x:alignment vertical="top" wrapText="1"/>
    </x:xf>
    <x:xf numFmtId="4" fontId="0" fillId="0" borderId="0" xfId="0"/>
    <x:xf numFmtId="164" fontId="0" fillId="0" borderId="0" xfId="0"/>
    <x:xf numFmtId="164" fontId="0" fillId="5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4" fontId="0" fillId="5" borderId="0" xfId="0" applyNumberFormat="1" applyFont="1" applyFill="1" applyBorder="1" applyAlignment="1">
      <x:alignment vertical="top" wrapText="1"/>
    </x:xf>
    <x:xf numFmtId="4" fontId="0" fillId="0" borderId="0" xfId="0" applyNumberFormat="1" applyFont="1" applyFill="1" applyBorder="1"/>
    <x:xf numFmtId="164" fontId="0" fillId="0" borderId="0" xfId="0" applyNumberFormat="1" applyFont="1" applyFill="1" applyBorder="1"/>
    <x:xf numFmtId="164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4" fontId="0" fillId="7" borderId="0" xfId="0" applyNumberFormat="1" applyFont="1" applyFill="1" applyBorder="1" applyAlignment="1">
      <x:alignment vertical="top" wrapText="1"/>
    </x:xf>
    <x:xf numFmtId="164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e7eeadea04589" /><Relationship Type="http://schemas.openxmlformats.org/officeDocument/2006/relationships/theme" Target="/xl/theme/theme1.xml" Id="R0c8e7f619dbc4881" /><Relationship Type="http://schemas.openxmlformats.org/officeDocument/2006/relationships/sharedStrings" Target="/xl/sharedStrings.xml" Id="R6603096aa7dc448c" /><Relationship Type="http://schemas.openxmlformats.org/officeDocument/2006/relationships/worksheet" Target="/xl/worksheets/sheet1.xml" Id="Rc989218a1012499a" /><Relationship Type="http://schemas.openxmlformats.org/officeDocument/2006/relationships/worksheet" Target="/xl/worksheets/sheet2.xml" Id="Ra21a5b3ca1d44994" /><Relationship Type="http://schemas.openxmlformats.org/officeDocument/2006/relationships/worksheet" Target="/xl/worksheets/sheet3.xml" Id="R82b275f44b3b4cb5" /><Relationship Type="http://schemas.openxmlformats.org/officeDocument/2006/relationships/worksheet" Target="/xl/worksheets/sheet4.xml" Id="R1d4d1947e54844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9ea495a9804d82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Benefits versus costs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ln xmlns:a="http://schemas.openxmlformats.org/drawingml/2006/main">
              <a:prstDash val="solid"/>
            </a:ln>
          </c:spPr>
          <c:cat>
            <c:strRef>
              <c:f>'ROI_Calculator'!$A$4:$A$5</c:f>
              <c:strCache>
                <c:ptCount val="0"/>
              </c:strCache>
            </c:strRef>
          </c:cat>
          <c:val>
            <c:numRef>
              <c:f>'ROI_Calculator'!$B$4:$B$5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9ea495a9804d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09a6fc016104bc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68" t="inlineStr">
        <x:is>
          <x:t xml:space="preserve">Digital Resource AIHE-Z: ROI and Workflow Value Worksheet</x:t>
        </x:is>
      </x:c>
      <x:c r="B1" s="1" t="n"/>
      <x:c r="C1" s="1" t="n"/>
      <x:c r="D1" s="1" t="n"/>
      <x:c r="E1" s="1" t="n"/>
      <x:c r="F1" s="1" t="n"/>
    </x:row>
    <x:row r="2"/>
    <x:row r="3">
      <x:c r="A3" s="70" t="inlineStr">
        <x:is>
          <x:t xml:space="preserve">Resource ID</x:t>
        </x:is>
      </x:c>
      <x:c r="B3" s="17" t="inlineStr">
        <x:is>
          <x:t xml:space="preserve">AIHE-Z</x:t>
        </x:is>
      </x:c>
    </x:row>
    <x:row r="4">
      <x:c r="A4" s="70" t="inlineStr">
        <x:is>
          <x:t xml:space="preserve">Version</x:t>
        </x:is>
      </x:c>
      <x:c r="B4" s="17" t="str">
        <x:v>V1.0</x:v>
      </x:c>
    </x:row>
    <x:row r="5">
      <x:c r="A5" s="7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70" t="inlineStr">
        <x:is>
          <x:t xml:space="preserve">Related chapters</x:t>
        </x:is>
      </x:c>
      <x:c r="B6" s="17" t="inlineStr">
        <x:is>
          <x:t xml:space="preserve">Chapters 8, 10, and 20</x:t>
        </x:is>
      </x:c>
    </x:row>
    <x:row r="7">
      <x:c r="A7" s="7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7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7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7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70" t="inlineStr">
        <x:is>
          <x:t xml:space="preserve">Input</x:t>
        </x:is>
      </x:c>
      <x:c r="B1" s="70" t="inlineStr">
        <x:is>
          <x:t xml:space="preserve">Amount or evidence</x:t>
        </x:is>
      </x:c>
      <x:c r="C1" s="70" t="inlineStr">
        <x:is>
          <x:t xml:space="preserve">Notes</x:t>
        </x:is>
      </x:c>
    </x:row>
    <x:row r="2">
      <x:c r="A2" s="17" t="inlineStr">
        <x:is>
          <x:t xml:space="preserve">Total lifecycle cost</x:t>
        </x:is>
      </x:c>
      <x:c r="B2" s="71" t="str"/>
      <x:c r="C2" s="71" t="inlineStr">
        <x:is>
          <x:t xml:space="preserve">Include implementation, operation, monitoring, and exit.</x:t>
        </x:is>
      </x:c>
    </x:row>
    <x:row r="3">
      <x:c r="A3" s="17" t="inlineStr">
        <x:is>
          <x:t xml:space="preserve">Time savings</x:t>
        </x:is>
      </x:c>
      <x:c r="B3" s="71" t="str"/>
      <x:c r="C3" s="71" t="inlineStr">
        <x:is>
          <x:t xml:space="preserve">State whether time becomes usable capacity.</x:t>
        </x:is>
      </x:c>
    </x:row>
    <x:row r="4">
      <x:c r="A4" s="17" t="inlineStr">
        <x:is>
          <x:t xml:space="preserve">Avoided events</x:t>
        </x:is>
      </x:c>
      <x:c r="B4" s="71" t="str"/>
      <x:c r="C4" s="71" t="inlineStr">
        <x:is>
          <x:t xml:space="preserve">Specify attribution and unit cost.</x:t>
        </x:is>
      </x:c>
    </x:row>
    <x:row r="5">
      <x:c r="A5" s="17" t="inlineStr">
        <x:is>
          <x:t xml:space="preserve">Administrative savings</x:t>
        </x:is>
      </x:c>
      <x:c r="B5" s="71" t="str"/>
      <x:c r="C5" s="71" t="inlineStr">
        <x:is>
          <x:t xml:space="preserve">Separate transferred work from eliminated work.</x:t>
        </x:is>
      </x:c>
    </x:row>
    <x:row r="6">
      <x:c r="A6" s="17" t="inlineStr">
        <x:is>
          <x:t xml:space="preserve">Quality and access benefits</x:t>
        </x:is>
      </x:c>
      <x:c r="B6" s="71" t="str"/>
      <x:c r="C6" s="71" t="inlineStr">
        <x:is>
          <x:t xml:space="preserve">Describe non-monetized value.</x:t>
        </x:is>
      </x:c>
    </x:row>
    <x:row r="7">
      <x:c r="A7" s="17" t="inlineStr">
        <x:is>
          <x:t xml:space="preserve">Net benefit</x:t>
        </x:is>
      </x:c>
      <x:c r="B7" s="71" t="str"/>
      <x:c r="C7" s="71" t="inlineStr">
        <x:is>
          <x:t xml:space="preserve">Benefits minus cost.</x:t>
        </x:is>
      </x:c>
    </x:row>
    <x:row r="8">
      <x:c r="A8" s="17" t="inlineStr">
        <x:is>
          <x:t xml:space="preserve">ROI</x:t>
        </x:is>
      </x:c>
      <x:c r="B8" s="71" t="str"/>
      <x:c r="C8" s="71" t="inlineStr">
        <x:is>
          <x:t xml:space="preserve">(Benefits - costs) / costs × 100.</x:t>
        </x:is>
      </x:c>
    </x:row>
    <x:row r="9">
      <x:c r="A9" s="17" t="inlineStr">
        <x:is>
          <x:t xml:space="preserve">Limitations</x:t>
        </x:is>
      </x:c>
      <x:c r="B9" s="71" t="str"/>
      <x:c r="C9" s="71" t="inlineStr">
        <x:is>
          <x:t xml:space="preserve">List omitted or uncertain effects.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70" t="inlineStr">
        <x:is>
          <x:t xml:space="preserve">Input</x:t>
        </x:is>
      </x:c>
      <x:c r="B1" s="70" t="inlineStr">
        <x:is>
          <x:t xml:space="preserve">Amount or evidence</x:t>
        </x:is>
      </x:c>
      <x:c r="C1" s="70" t="inlineStr">
        <x:is>
          <x:t xml:space="preserve">Notes</x:t>
        </x:is>
      </x:c>
    </x:row>
    <x:row r="2">
      <x:c r="A2" s="17" t="inlineStr">
        <x:is>
          <x:t xml:space="preserve">Total lifecycle cost</x:t>
        </x:is>
      </x:c>
      <x:c r="B2" s="17" t="inlineStr">
        <x:is>
          <x:t xml:space="preserve">195000</x:t>
        </x:is>
      </x:c>
      <x:c r="C2" s="17" t="inlineStr">
        <x:is>
          <x:t xml:space="preserve">195000</x:t>
        </x:is>
      </x:c>
    </x:row>
    <x:row r="3">
      <x:c r="A3" s="17" t="inlineStr">
        <x:is>
          <x:t xml:space="preserve">Time savings</x:t>
        </x:is>
      </x:c>
      <x:c r="B3" s="17" t="inlineStr">
        <x:is>
          <x:t xml:space="preserve">EUR 120,000 equivalent gross time value; EUR 70,000 realizable capacity.</x:t>
        </x:is>
      </x:c>
      <x:c r="C3" s="17" t="inlineStr">
        <x:is>
          <x:t xml:space="preserve">EUR 120,000 equivalent gross time value; EUR 70,000 realizable capacity.</x:t>
        </x:is>
      </x:c>
    </x:row>
    <x:row r="4">
      <x:c r="A4" s="17" t="inlineStr">
        <x:is>
          <x:t xml:space="preserve">Avoided events</x:t>
        </x:is>
      </x:c>
      <x:c r="B4" s="17" t="inlineStr">
        <x:is>
          <x:t xml:space="preserve">10 readmissions × EUR 8,000 = EUR 80,000.</x:t>
        </x:is>
      </x:c>
      <x:c r="C4" s="17" t="inlineStr">
        <x:is>
          <x:t xml:space="preserve">10 readmissions × EUR 8,000 = EUR 80,000.</x:t>
        </x:is>
      </x:c>
    </x:row>
    <x:row r="5">
      <x:c r="A5" s="17" t="inlineStr">
        <x:is>
          <x:t xml:space="preserve">Administrative savings</x:t>
        </x:is>
      </x:c>
      <x:c r="B5" s="17" t="inlineStr">
        <x:is>
          <x:t xml:space="preserve">EUR 40,000 after verification and rework.</x:t>
        </x:is>
      </x:c>
      <x:c r="C5" s="17" t="inlineStr">
        <x:is>
          <x:t xml:space="preserve">EUR 40,000 after verification and rework.</x:t>
        </x:is>
      </x:c>
    </x:row>
    <x:row r="6">
      <x:c r="A6" s="17" t="inlineStr">
        <x:is>
          <x:t xml:space="preserve">Quality and access benefits</x:t>
        </x:is>
      </x:c>
      <x:c r="B6" s="17" t="inlineStr">
        <x:is>
          <x:t xml:space="preserve">Improved targeting and follow-up completion; not monetized in base case.</x:t>
        </x:is>
      </x:c>
      <x:c r="C6" s="17" t="inlineStr">
        <x:is>
          <x:t xml:space="preserve">Improved targeting and follow-up completion; not monetized in base case.</x:t>
        </x:is>
      </x:c>
    </x:row>
    <x:row r="7">
      <x:c r="A7" s="17" t="inlineStr">
        <x:is>
          <x:t xml:space="preserve">Net benefit</x:t>
        </x:is>
      </x:c>
      <x:c r="B7" s="17" t="inlineStr">
        <x:is>
          <x:t xml:space="preserve">25000</x:t>
        </x:is>
      </x:c>
      <x:c r="C7" s="17" t="inlineStr">
        <x:is>
          <x:t xml:space="preserve">25000</x:t>
        </x:is>
      </x:c>
    </x:row>
    <x:row r="8">
      <x:c r="A8" s="17" t="inlineStr">
        <x:is>
          <x:t xml:space="preserve">ROI</x:t>
        </x:is>
      </x:c>
      <x:c r="B8" s="17" t="inlineStr">
        <x:is>
          <x:t xml:space="preserve">12.8%</x:t>
        </x:is>
      </x:c>
      <x:c r="C8" s="17" t="inlineStr">
        <x:is>
          <x:t xml:space="preserve">12.8%</x:t>
        </x:is>
      </x:c>
    </x:row>
    <x:row r="9">
      <x:c r="A9" s="17" t="inlineStr">
        <x:is>
          <x:t xml:space="preserve">Limitations</x:t>
        </x:is>
      </x:c>
      <x:c r="B9" s="17" t="inlineStr">
        <x:is>
          <x:t xml:space="preserve">Illustrative only; causal attribution, capacity, and subgroup effects remain uncertain.</x:t>
        </x:is>
      </x:c>
      <x:c r="C9" s="17" t="inlineStr">
        <x:is>
          <x:t xml:space="preserve">Illustrative only; causal attribution, capacity, and subgroup effects remain uncertain.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8" customWidth="1"/>
  </x:cols>
  <x:sheetData>
    <x:row r="1">
      <x:c r="A1" s="68" t="inlineStr">
        <x:is>
          <x:t xml:space="preserve">ROI and Workflow Value Calculator</x:t>
        </x:is>
      </x:c>
      <x:c r="B1" s="1" t="n"/>
      <x:c r="C1" s="1" t="n"/>
      <x:c r="D1" s="1" t="n"/>
    </x:row>
    <x:row r="2"/>
    <x:row r="3">
      <x:c r="A3" s="70" t="inlineStr">
        <x:is>
          <x:t xml:space="preserve">Input</x:t>
        </x:is>
      </x:c>
      <x:c r="B3" s="70" t="inlineStr">
        <x:is>
          <x:t xml:space="preserve">Value</x:t>
        </x:is>
      </x:c>
    </x:row>
    <x:row r="4">
      <x:c r="A4" t="inlineStr">
        <x:is>
          <x:t xml:space="preserve">Total estimated benefits</x:t>
        </x:is>
      </x:c>
      <x:c r="B4" s="72" t="n">
        <x:v>220000</x:v>
      </x:c>
    </x:row>
    <x:row r="5">
      <x:c r="A5" t="inlineStr">
        <x:is>
          <x:t xml:space="preserve">Total lifecycle cost</x:t>
        </x:is>
      </x:c>
      <x:c r="B5" s="72" t="n">
        <x:v>195000</x:v>
      </x:c>
    </x:row>
    <x:row r="6">
      <x:c r="A6" t="inlineStr">
        <x:is>
          <x:t xml:space="preserve">Net benefit</x:t>
        </x:is>
      </x:c>
      <x:c r="B6" s="43" t="n">
        <x:f>B4-B5</x:f>
        <x:v>25000</x:v>
      </x:c>
    </x:row>
    <x:row r="7">
      <x:c r="A7" t="inlineStr">
        <x:is>
          <x:t xml:space="preserve">ROI</x:t>
        </x:is>
      </x:c>
      <x:c r="B7" s="44" t="n">
        <x:f>IF(B5=0,"",B6/B5)</x:f>
        <x:v>0.1282051282051282</x:v>
      </x:c>
    </x:row>
    <x:row r="8">
      <x:c r="A8" t="inlineStr">
        <x:is>
          <x:t xml:space="preserve">Realizable-capacity factor</x:t>
        </x:is>
      </x:c>
      <x:c r="B8" s="73" t="n">
        <x:v>0.6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909a6fc016104bc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