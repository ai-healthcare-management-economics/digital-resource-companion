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5ff74dfdf45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09800d13d22343fe"/>
    <x:sheet xmlns:r="http://schemas.openxmlformats.org/officeDocument/2006/relationships" name="S1T1_Main_Blank" sheetId="2" r:id="R1526952c4c4a46c0"/>
    <x:sheet xmlns:r="http://schemas.openxmlformats.org/officeDocument/2006/relationships" name="S1T1_Main_Worked" sheetId="3" r:id="R70f4dc6b12574271"/>
    <x:sheet xmlns:r="http://schemas.openxmlformats.org/officeDocument/2006/relationships" name="CEA_Calculator" sheetId="4" r:id="R81849289e0a342e1"/>
    <x:sheet xmlns:r="http://schemas.openxmlformats.org/officeDocument/2006/relationships" name="Budget_Impact" sheetId="5" r:id="Rd7ebeb5d321c43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30323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5F9F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</x:fills>
  <x:borders count="2">
    <x:border/>
    <x:border/>
  </x:borders>
  <x:cellStyleXfs count="1">
    <x:xf numFmtId="0" fontId="0" fillId="0" borderId="1"/>
  </x:cellStyleXfs>
  <x:cellXfs count="80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wrapText="1"/>
    </x:xf>
    <x:xf numFmtId="0" fontId="0" fillId="0" borderId="1" xfId="0" applyAlignment="1">
      <x:alignment vertical="top" wrapText="1"/>
    </x:xf>
    <x:xf numFmtId="0" fontId="0" fillId="4" borderId="0" xfId="0"/>
    <x:xf numFmtId="0" fontId="2" fillId="4" borderId="0" xfId="0"/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0" fillId="4" borderId="1" xfId="0"/>
    <x:xf numFmtId="0" fontId="2" fillId="4" borderId="1" xfId="0"/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0" fillId="5" borderId="0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5" borderId="0" xfId="0"/>
    <x:xf numFmtId="0" fontId="0" fillId="5" borderId="0" xfId="0" applyAlignment="1">
      <x:alignment wrapText="1"/>
    </x:xf>
    <x:xf numFmtId="0" fontId="0" fillId="5" borderId="1" xfId="0"/>
    <x:xf numFmtId="0" fontId="0" fillId="5" borderId="1" xfId="0" applyAlignment="1">
      <x:alignment wrapText="1"/>
    </x:xf>
    <x:xf numFmtId="4" fontId="0" fillId="5" borderId="0" xfId="0" applyAlignment="1">
      <x:alignment vertical="top" wrapText="1"/>
    </x:xf>
    <x:xf numFmtId="4" fontId="0" fillId="5" borderId="1" xfId="0" applyAlignment="1">
      <x:alignment vertical="top" wrapText="1"/>
    </x:xf>
    <x:xf numFmtId="164" fontId="0" fillId="5" borderId="0" xfId="0" applyAlignment="1">
      <x:alignment vertical="top" wrapText="1"/>
    </x:xf>
    <x:xf numFmtId="164" fontId="0" fillId="5" borderId="1" xfId="0" applyAlignment="1">
      <x:alignment vertical="top" wrapText="1"/>
    </x:xf>
    <x:xf numFmtId="4" fontId="0" fillId="0" borderId="0" xfId="0"/>
    <x:xf numFmtId="4" fontId="0" fillId="0" borderId="1" xfId="0"/>
    <x:xf numFmtId="3" fontId="0" fillId="5" borderId="0" xfId="0" applyAlignment="1">
      <x:alignment vertical="top" wrapText="1"/>
    </x:xf>
    <x:xf numFmtId="3" fontId="0" fillId="0" borderId="0" xfId="0"/>
    <x:xf numFmtId="0" fontId="0" fillId="0" borderId="0" xfId="0"/>
    <x:xf numFmtId="4" fontId="0" fillId="5" borderId="0" xfId="0" applyAlignment="1">
      <x:alignment vertical="top" wrapText="1"/>
    </x:xf>
    <x:xf numFmtId="164" fontId="0" fillId="5" borderId="0" xfId="0" applyAlignment="1">
      <x:alignment vertical="top" wrapText="1"/>
    </x:xf>
    <x:xf numFmtId="4" fontId="0" fillId="0" borderId="0" xfId="0"/>
    <x:xf numFmtId="3" fontId="0" fillId="5" borderId="0" xfId="0" applyAlignment="1">
      <x:alignment vertical="top" wrapText="1"/>
    </x:xf>
    <x:xf numFmtId="3" fontId="0" fillId="0" borderId="0" xfId="0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4" fontId="0" fillId="5" borderId="0" xfId="0" applyNumberFormat="1" applyFont="1" applyFill="1" applyBorder="1" applyAlignment="1">
      <x:alignment vertical="top" wrapText="1"/>
    </x:xf>
    <x:xf numFmtId="164" fontId="0" fillId="5" borderId="0" xfId="0" applyNumberFormat="1" applyFont="1" applyFill="1" applyBorder="1" applyAlignment="1">
      <x:alignment vertical="top" wrapText="1"/>
    </x:xf>
    <x:xf numFmtId="4" fontId="0" fillId="0" borderId="0" xfId="0" applyNumberFormat="1" applyFont="1" applyFill="1" applyBorder="1"/>
    <x:xf numFmtId="3" fontId="0" fillId="5" borderId="0" xfId="0" applyNumberFormat="1" applyFont="1" applyFill="1" applyBorder="1" applyAlignment="1">
      <x:alignment vertical="top" wrapText="1"/>
    </x:xf>
    <x:xf numFmtId="3" fontId="0" fillId="0" borderId="0" xfId="0" applyNumberFormat="1" applyFont="1" applyFill="1" applyBorder="1"/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4" fontId="0" fillId="7" borderId="0" xfId="0" applyNumberFormat="1" applyFont="1" applyFill="1" applyBorder="1" applyAlignment="1">
      <x:alignment vertical="top" wrapText="1"/>
    </x:xf>
    <x:xf numFmtId="164" fontId="0" fillId="7" borderId="0" xfId="0" applyNumberFormat="1" applyFont="1" applyFill="1" applyBorder="1" applyAlignment="1">
      <x:alignment vertical="top" wrapText="1"/>
    </x:xf>
    <x:xf numFmtId="3" fontId="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a66834413c48d6" /><Relationship Type="http://schemas.openxmlformats.org/officeDocument/2006/relationships/theme" Target="/xl/theme/theme1.xml" Id="Rd4d631846c5e449d" /><Relationship Type="http://schemas.openxmlformats.org/officeDocument/2006/relationships/sharedStrings" Target="/xl/sharedStrings.xml" Id="R6c7a8ad04b144f28" /><Relationship Type="http://schemas.openxmlformats.org/officeDocument/2006/relationships/worksheet" Target="/xl/worksheets/sheet1.xml" Id="R09800d13d22343fe" /><Relationship Type="http://schemas.openxmlformats.org/officeDocument/2006/relationships/worksheet" Target="/xl/worksheets/sheet2.xml" Id="R1526952c4c4a46c0" /><Relationship Type="http://schemas.openxmlformats.org/officeDocument/2006/relationships/worksheet" Target="/xl/worksheets/sheet3.xml" Id="R70f4dc6b12574271" /><Relationship Type="http://schemas.openxmlformats.org/officeDocument/2006/relationships/worksheet" Target="/xl/worksheets/sheet4.xml" Id="R81849289e0a342e1" /><Relationship Type="http://schemas.openxmlformats.org/officeDocument/2006/relationships/worksheet" Target="/xl/worksheets/sheet5.xml" Id="Rd7ebeb5d321c43a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10a9c569107482d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Budget impact by year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Implementation cost</c:v>
          </c:tx>
          <c:spPr>
            <a:ln xmlns:a="http://schemas.openxmlformats.org/drawingml/2006/main">
              <a:prstDash val="solid"/>
            </a:ln>
          </c:spPr>
          <c:cat>
            <c:strRef>
              <c:f>'Budget_Impact'!$A$4:$A$8</c:f>
              <c:strCache>
                <c:ptCount val="0"/>
              </c:strCache>
            </c:strRef>
          </c:cat>
          <c:val>
            <c:numRef>
              <c:f>'Budget_Impact'!$B$4:$B$8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Recurring cost</c:v>
          </c:tx>
          <c:spPr>
            <a:ln xmlns:a="http://schemas.openxmlformats.org/drawingml/2006/main">
              <a:prstDash val="solid"/>
            </a:ln>
          </c:spPr>
          <c:cat>
            <c:strRef>
              <c:f>'Budget_Impact'!$A$4:$A$8</c:f>
              <c:strCache>
                <c:ptCount val="0"/>
              </c:strCache>
            </c:strRef>
          </c:cat>
          <c:val>
            <c:numRef>
              <c:f>'Budget_Impact'!$C$4:$C$8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Estimated savings</c:v>
          </c:tx>
          <c:spPr>
            <a:ln xmlns:a="http://schemas.openxmlformats.org/drawingml/2006/main">
              <a:prstDash val="solid"/>
            </a:ln>
          </c:spPr>
          <c:cat>
            <c:strRef>
              <c:f>'Budget_Impact'!$A$4:$A$8</c:f>
              <c:strCache>
                <c:ptCount val="0"/>
              </c:strCache>
            </c:strRef>
          </c:cat>
          <c:val>
            <c:numRef>
              <c:f>'Budget_Impact'!$D$4:$D$8</c:f>
              <c:numCache>
                <c:formatCode>#,##0</c:formatCode>
                <c:ptCount val="0"/>
              </c:numCache>
            </c:numRef>
          </c:val>
        </c:ser>
        <c:ser>
          <c:idx val="3"/>
          <c:order val="3"/>
          <c:tx>
            <c:v>Net budget impact</c:v>
          </c:tx>
          <c:spPr>
            <a:ln xmlns:a="http://schemas.openxmlformats.org/drawingml/2006/main">
              <a:prstDash val="solid"/>
            </a:ln>
          </c:spPr>
          <c:cat>
            <c:strRef>
              <c:f>'Budget_Impact'!$A$4:$A$8</c:f>
              <c:strCache>
                <c:ptCount val="0"/>
              </c:strCache>
            </c:strRef>
          </c:cat>
          <c:val>
            <c:numRef>
              <c:f>'Budget_Impact'!$E$4:$E$8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0a9c569107482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cdb9455f6b32433f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4" style="44" customWidth="1"/>
    <x:col min="2" max="2" width="70" style="44" customWidth="1"/>
  </x:cols>
  <x:sheetData>
    <x:row r="1">
      <x:c r="A1" s="73" t="inlineStr">
        <x:is>
          <x:t xml:space="preserve">Digital Resource AIHE-AA: Cost-Effectiveness and Budget-Impact Tool</x:t>
        </x:is>
      </x:c>
      <x:c r="B1" s="1" t="n"/>
      <x:c r="C1" s="1" t="n"/>
      <x:c r="D1" s="1" t="n"/>
      <x:c r="E1" s="1" t="n"/>
      <x:c r="F1" s="1" t="n"/>
    </x:row>
    <x:row r="2"/>
    <x:row r="3">
      <x:c r="A3" s="75" t="inlineStr">
        <x:is>
          <x:t xml:space="preserve">Resource ID</x:t>
        </x:is>
      </x:c>
      <x:c r="B3" s="17" t="inlineStr">
        <x:is>
          <x:t xml:space="preserve">AIHE-AA</x:t>
        </x:is>
      </x:c>
    </x:row>
    <x:row r="4">
      <x:c r="A4" s="75" t="inlineStr">
        <x:is>
          <x:t xml:space="preserve">Version</x:t>
        </x:is>
      </x:c>
      <x:c r="B4" s="17" t="str">
        <x:v>V1.0</x:v>
      </x:c>
    </x:row>
    <x:row r="5">
      <x:c r="A5" s="75" t="inlineStr">
        <x:is>
          <x:t xml:space="preserve">Last reviewed</x:t>
        </x:is>
      </x:c>
      <x:c r="B5" s="17" t="inlineStr">
        <x:is>
          <x:t xml:space="preserve">2026-07-26</x:t>
        </x:is>
      </x:c>
    </x:row>
    <x:row r="6">
      <x:c r="A6" s="75" t="inlineStr">
        <x:is>
          <x:t xml:space="preserve">Related chapters</x:t>
        </x:is>
      </x:c>
      <x:c r="B6" s="17" t="str">
        <x:v>Chapters 11</x:v>
      </x:c>
    </x:row>
    <x:row r="7">
      <x:c r="A7" s="75" t="inlineStr">
        <x:is>
          <x:t xml:space="preserve">Intended users</x:t>
        </x:is>
      </x:c>
      <x:c r="B7" s="17" t="inlineStr">
        <x:is>
          <x:t xml:space="preserve">Students, instructors, hospital managers, clinicians, health economists, informatics, governance, and project teams</x:t>
        </x:is>
      </x:c>
    </x:row>
    <x:row r="8">
      <x:c r="A8" s="75" t="inlineStr">
        <x:is>
          <x:t xml:space="preserve">Status</x:t>
        </x:is>
      </x:c>
      <x:c r="B8" s="17" t="inlineStr">
        <x:is>
          <x:t xml:space="preserve">Educational and practice-support instrument</x:t>
        </x:is>
      </x:c>
    </x:row>
    <x:row r="9">
      <x:c r="A9" s="75" t="inlineStr">
        <x:is>
          <x:t xml:space="preserve">Privacy</x:t>
        </x:is>
      </x:c>
      <x:c r="B9" s="17" t="inlineStr">
        <x:is>
          <x:t xml:space="preserve">Do not enter identifiable patient information, credentials, or confidential vendor data.</x:t>
        </x:is>
      </x:c>
    </x:row>
    <x:row r="10">
      <x:c r="A10" s="75" t="inlineStr">
        <x:is>
          <x:t xml:space="preserve">Instructions</x:t>
        </x:is>
      </x:c>
      <x:c r="B10" s="17" t="inlineStr">
        <x:is>
          <x:t xml:space="preserve">Complete yellow cells; preserve formulas; record evidence, assumptions, owners, dates, thresholds, and local adaptations.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style="44" customWidth="1"/>
    <x:col min="2" max="2" width="28" style="44" customWidth="1"/>
    <x:col min="3" max="3" width="28" style="44" customWidth="1"/>
    <x:col min="4" max="4" width="28" style="44" customWidth="1"/>
  </x:cols>
  <x:sheetData>
    <x:row r="1">
      <x:c r="A1" s="75" t="inlineStr">
        <x:is>
          <x:t xml:space="preserve">Item</x:t>
        </x:is>
      </x:c>
      <x:c r="B1" s="75" t="inlineStr">
        <x:is>
          <x:t xml:space="preserve">AI pathway</x:t>
        </x:is>
      </x:c>
      <x:c r="C1" s="75" t="inlineStr">
        <x:is>
          <x:t xml:space="preserve">Comparator</x:t>
        </x:is>
      </x:c>
      <x:c r="D1" s="75" t="inlineStr">
        <x:is>
          <x:t xml:space="preserve">Difference</x:t>
        </x:is>
      </x:c>
    </x:row>
    <x:row r="2">
      <x:c r="A2" s="17" t="inlineStr">
        <x:is>
          <x:t xml:space="preserve">Cost per patient</x:t>
        </x:is>
      </x:c>
      <x:c r="B2" s="76" t="str"/>
      <x:c r="C2" s="76" t="str"/>
      <x:c r="D2" s="76" t="str"/>
    </x:row>
    <x:row r="3">
      <x:c r="A3" s="17" t="inlineStr">
        <x:is>
          <x:t xml:space="preserve">Outcome per patient</x:t>
        </x:is>
      </x:c>
      <x:c r="B3" s="76" t="str"/>
      <x:c r="C3" s="76" t="str"/>
      <x:c r="D3" s="76" t="str"/>
    </x:row>
    <x:row r="4">
      <x:c r="A4" s="17" t="inlineStr">
        <x:is>
          <x:t xml:space="preserve">QALYs or effect measure</x:t>
        </x:is>
      </x:c>
      <x:c r="B4" s="76" t="str"/>
      <x:c r="C4" s="76" t="str"/>
      <x:c r="D4" s="76" t="str"/>
    </x:row>
    <x:row r="5">
      <x:c r="A5" s="17" t="inlineStr">
        <x:is>
          <x:t xml:space="preserve">Incremental cost</x:t>
        </x:is>
      </x:c>
      <x:c r="B5" s="76" t="str"/>
      <x:c r="C5" s="76" t="str"/>
      <x:c r="D5" s="76" t="str"/>
    </x:row>
    <x:row r="6">
      <x:c r="A6" s="17" t="inlineStr">
        <x:is>
          <x:t xml:space="preserve">Incremental effect</x:t>
        </x:is>
      </x:c>
      <x:c r="B6" s="76" t="str"/>
      <x:c r="C6" s="76" t="str"/>
      <x:c r="D6" s="76" t="str"/>
    </x:row>
    <x:row r="7">
      <x:c r="A7" s="17" t="inlineStr">
        <x:is>
          <x:t xml:space="preserve">ICER or net benefit</x:t>
        </x:is>
      </x:c>
      <x:c r="B7" s="76" t="str"/>
      <x:c r="C7" s="76" t="str"/>
      <x:c r="D7" s="76" t="str"/>
    </x:row>
    <x:row r="8">
      <x:c r="A8" s="17" t="inlineStr">
        <x:is>
          <x:t xml:space="preserve">Eligible population</x:t>
        </x:is>
      </x:c>
      <x:c r="B8" s="76" t="str"/>
      <x:c r="C8" s="76" t="str"/>
      <x:c r="D8" s="76" t="str"/>
    </x:row>
    <x:row r="9">
      <x:c r="A9" s="17" t="inlineStr">
        <x:is>
          <x:t xml:space="preserve">Adoption rate</x:t>
        </x:is>
      </x:c>
      <x:c r="B9" s="76" t="str"/>
      <x:c r="C9" s="76" t="str"/>
      <x:c r="D9" s="76" t="str"/>
    </x:row>
    <x:row r="10">
      <x:c r="A10" s="17" t="inlineStr">
        <x:is>
          <x:t xml:space="preserve">Annual budget impact</x:t>
        </x:is>
      </x:c>
      <x:c r="B10" s="76" t="str"/>
      <x:c r="C10" s="76" t="str"/>
      <x:c r="D10" s="76" t="str"/>
    </x:row>
    <x:row r="11">
      <x:c r="A11" s="17" t="inlineStr">
        <x:is>
          <x:t xml:space="preserve">Sensitivity/scenario result</x:t>
        </x:is>
      </x:c>
      <x:c r="B11" s="76" t="str"/>
      <x:c r="C11" s="76" t="str"/>
      <x:c r="D11" s="7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style="44" customWidth="1"/>
    <x:col min="2" max="2" width="30" style="44" customWidth="1"/>
    <x:col min="3" max="3" width="30" style="44" customWidth="1"/>
    <x:col min="4" max="4" width="30" style="44" customWidth="1"/>
  </x:cols>
  <x:sheetData>
    <x:row r="1">
      <x:c r="A1" s="75" t="inlineStr">
        <x:is>
          <x:t xml:space="preserve">Item</x:t>
        </x:is>
      </x:c>
      <x:c r="B1" s="75" t="inlineStr">
        <x:is>
          <x:t xml:space="preserve">AI pathway</x:t>
        </x:is>
      </x:c>
      <x:c r="C1" s="75" t="inlineStr">
        <x:is>
          <x:t xml:space="preserve">Comparator</x:t>
        </x:is>
      </x:c>
      <x:c r="D1" s="75" t="inlineStr">
        <x:is>
          <x:t xml:space="preserve">Difference</x:t>
        </x:is>
      </x:c>
    </x:row>
    <x:row r="2">
      <x:c r="A2" s="17" t="inlineStr">
        <x:is>
          <x:t xml:space="preserve">Cost per patient</x:t>
        </x:is>
      </x:c>
      <x:c r="B2" s="17" t="inlineStr">
        <x:is>
          <x:t xml:space="preserve">1450</x:t>
        </x:is>
      </x:c>
      <x:c r="C2" s="17" t="inlineStr">
        <x:is>
          <x:t xml:space="preserve">1200</x:t>
        </x:is>
      </x:c>
      <x:c r="D2" s="17" t="inlineStr">
        <x:is>
          <x:t xml:space="preserve">250</x:t>
        </x:is>
      </x:c>
    </x:row>
    <x:row r="3">
      <x:c r="A3" s="17" t="inlineStr">
        <x:is>
          <x:t xml:space="preserve">Outcome per patient</x:t>
        </x:is>
      </x:c>
      <x:c r="B3" s="17" t="inlineStr">
        <x:is>
          <x:t xml:space="preserve">0.770</x:t>
        </x:is>
      </x:c>
      <x:c r="C3" s="17" t="inlineStr">
        <x:is>
          <x:t xml:space="preserve">0.740</x:t>
        </x:is>
      </x:c>
      <x:c r="D3" s="17" t="inlineStr">
        <x:is>
          <x:t xml:space="preserve">0.030</x:t>
        </x:is>
      </x:c>
    </x:row>
    <x:row r="4">
      <x:c r="A4" s="17" t="inlineStr">
        <x:is>
          <x:t xml:space="preserve">QALYs or effect measure</x:t>
        </x:is>
      </x:c>
      <x:c r="B4" s="17" t="inlineStr">
        <x:is>
          <x:t xml:space="preserve">0.770 QALYs</x:t>
        </x:is>
      </x:c>
      <x:c r="C4" s="17" t="inlineStr">
        <x:is>
          <x:t xml:space="preserve">0.740 QALYs</x:t>
        </x:is>
      </x:c>
      <x:c r="D4" s="17" t="inlineStr">
        <x:is>
          <x:t xml:space="preserve">0.030 QALYs</x:t>
        </x:is>
      </x:c>
    </x:row>
    <x:row r="5">
      <x:c r="A5" s="17" t="inlineStr">
        <x:is>
          <x:t xml:space="preserve">Incremental cost</x:t>
        </x:is>
      </x:c>
      <x:c r="B5" s="17" t="inlineStr">
        <x:is>
          <x:t xml:space="preserve">250</x:t>
        </x:is>
      </x:c>
      <x:c r="C5" s="17" t="inlineStr">
        <x:is>
          <x:t xml:space="preserve">0</x:t>
        </x:is>
      </x:c>
      <x:c r="D5" s="17" t="inlineStr">
        <x:is>
          <x:t xml:space="preserve">250</x:t>
        </x:is>
      </x:c>
    </x:row>
    <x:row r="6">
      <x:c r="A6" s="17" t="inlineStr">
        <x:is>
          <x:t xml:space="preserve">Incremental effect</x:t>
        </x:is>
      </x:c>
      <x:c r="B6" s="17" t="inlineStr">
        <x:is>
          <x:t xml:space="preserve">0.030</x:t>
        </x:is>
      </x:c>
      <x:c r="C6" s="17" t="inlineStr">
        <x:is>
          <x:t xml:space="preserve">0</x:t>
        </x:is>
      </x:c>
      <x:c r="D6" s="17" t="inlineStr">
        <x:is>
          <x:t xml:space="preserve">0.030</x:t>
        </x:is>
      </x:c>
    </x:row>
    <x:row r="7">
      <x:c r="A7" s="17" t="inlineStr">
        <x:is>
          <x:t xml:space="preserve">ICER or net benefit</x:t>
        </x:is>
      </x:c>
      <x:c r="B7" s="17" t="inlineStr">
        <x:is>
          <x:t xml:space="preserve">EUR 8,333/QALY</x:t>
        </x:is>
      </x:c>
      <x:c r="C7" s="17" t="inlineStr">
        <x:is>
          <x:t xml:space="preserve">Comparator</x:t>
        </x:is>
      </x:c>
      <x:c r="D7" s="17" t="inlineStr">
        <x:is>
          <x:t xml:space="preserve">EUR 8,333/QALY</x:t>
        </x:is>
      </x:c>
    </x:row>
    <x:row r="8">
      <x:c r="A8" s="17" t="inlineStr">
        <x:is>
          <x:t xml:space="preserve">Eligible population</x:t>
        </x:is>
      </x:c>
      <x:c r="B8" s="17" t="inlineStr">
        <x:is>
          <x:t xml:space="preserve">1000</x:t>
        </x:is>
      </x:c>
      <x:c r="C8" s="17" t="inlineStr">
        <x:is>
          <x:t xml:space="preserve">1000</x:t>
        </x:is>
      </x:c>
      <x:c r="D8" s="17" t="inlineStr">
        <x:is>
          <x:t xml:space="preserve">0</x:t>
        </x:is>
      </x:c>
    </x:row>
    <x:row r="9">
      <x:c r="A9" s="17" t="inlineStr">
        <x:is>
          <x:t xml:space="preserve">Adoption rate</x:t>
        </x:is>
      </x:c>
      <x:c r="B9" s="17" t="inlineStr">
        <x:is>
          <x:t xml:space="preserve">60%</x:t>
        </x:is>
      </x:c>
      <x:c r="C9" s="17" t="inlineStr">
        <x:is>
          <x:t xml:space="preserve">0%</x:t>
        </x:is>
      </x:c>
      <x:c r="D9" s="17" t="inlineStr">
        <x:is>
          <x:t xml:space="preserve">60 percentage points</x:t>
        </x:is>
      </x:c>
    </x:row>
    <x:row r="10">
      <x:c r="A10" s="17" t="inlineStr">
        <x:is>
          <x:t xml:space="preserve">Annual budget impact</x:t>
        </x:is>
      </x:c>
      <x:c r="B10" s="17" t="inlineStr">
        <x:is>
          <x:t xml:space="preserve">EUR 190,000 in Year 1</x:t>
        </x:is>
      </x:c>
      <x:c r="C10" s="17" t="inlineStr">
        <x:is>
          <x:t xml:space="preserve">EUR 0</x:t>
        </x:is>
      </x:c>
      <x:c r="D10" s="17" t="inlineStr">
        <x:is>
          <x:t xml:space="preserve">EUR 190,000</x:t>
        </x:is>
      </x:c>
    </x:row>
    <x:row r="11">
      <x:c r="A11" s="17" t="inlineStr">
        <x:is>
          <x:t xml:space="preserve">Sensitivity/scenario result</x:t>
        </x:is>
      </x:c>
      <x:c r="B11" s="17" t="inlineStr">
        <x:is>
          <x:t xml:space="preserve">ICER rises to EUR 16,667/QALY if effect falls to 0.015 QALY.</x:t>
        </x:is>
      </x:c>
      <x:c r="C11" s="17" t="inlineStr">
        <x:is>
          <x:t xml:space="preserve">Usual care.</x:t>
        </x:is>
      </x:c>
      <x:c r="D11" s="17" t="inlineStr">
        <x:is>
          <x:t xml:space="preserve">Decision remains favorable below EUR 20,000/QALY in base case.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2" style="44" customWidth="1"/>
    <x:col min="2" max="2" width="24" style="44" customWidth="1"/>
  </x:cols>
  <x:sheetData>
    <x:row r="1">
      <x:c r="A1" s="73" t="inlineStr">
        <x:is>
          <x:t xml:space="preserve">Cost-Effectiveness Calculator</x:t>
        </x:is>
      </x:c>
      <x:c r="B1" s="1" t="n"/>
      <x:c r="C1" s="1" t="n"/>
      <x:c r="D1" s="1" t="n"/>
    </x:row>
    <x:row r="2"/>
    <x:row r="3">
      <x:c r="A3" s="75" t="inlineStr">
        <x:is>
          <x:t xml:space="preserve">Input</x:t>
        </x:is>
      </x:c>
      <x:c r="B3" s="75" t="inlineStr">
        <x:is>
          <x:t xml:space="preserve">Value</x:t>
        </x:is>
      </x:c>
    </x:row>
    <x:row r="4">
      <x:c r="A4" t="inlineStr">
        <x:is>
          <x:t xml:space="preserve">AI cost</x:t>
        </x:is>
      </x:c>
      <x:c r="B4" s="77" t="n">
        <x:v>1450</x:v>
      </x:c>
    </x:row>
    <x:row r="5">
      <x:c r="A5" t="inlineStr">
        <x:is>
          <x:t xml:space="preserve">Comparator cost</x:t>
        </x:is>
      </x:c>
      <x:c r="B5" s="77" t="n">
        <x:v>1200</x:v>
      </x:c>
    </x:row>
    <x:row r="6">
      <x:c r="A6" t="inlineStr">
        <x:is>
          <x:t xml:space="preserve">AI effect</x:t>
        </x:is>
      </x:c>
      <x:c r="B6" s="78" t="n">
        <x:v>0.77</x:v>
      </x:c>
    </x:row>
    <x:row r="7">
      <x:c r="A7" t="inlineStr">
        <x:is>
          <x:t xml:space="preserve">Comparator effect</x:t>
        </x:is>
      </x:c>
      <x:c r="B7" s="78" t="n">
        <x:v>0.74</x:v>
      </x:c>
    </x:row>
    <x:row r="8">
      <x:c r="A8" t="inlineStr">
        <x:is>
          <x:t xml:space="preserve">Incremental cost</x:t>
        </x:is>
      </x:c>
      <x:c r="B8" s="47" t="n">
        <x:f>B4-B5</x:f>
        <x:v>250</x:v>
      </x:c>
    </x:row>
    <x:row r="9">
      <x:c r="A9" t="inlineStr">
        <x:is>
          <x:t xml:space="preserve">Incremental effect</x:t>
        </x:is>
      </x:c>
      <x:c r="B9" s="47" t="n">
        <x:f>B6-B7</x:f>
        <x:v>0.030000000000000027</x:v>
      </x:c>
    </x:row>
    <x:row r="10">
      <x:c r="A10" t="inlineStr">
        <x:is>
          <x:t xml:space="preserve">ICER</x:t>
        </x:is>
      </x:c>
      <x:c r="B10" s="47" t="n">
        <x:f>IF(B9=0,"",B8/B9)</x:f>
        <x:v>8333.333333333327</x:v>
      </x:c>
    </x:row>
    <x:row r="11">
      <x:c r="A11" t="inlineStr">
        <x:is>
          <x:t xml:space="preserve">WTP threshold</x:t>
        </x:is>
      </x:c>
      <x:c r="B11" t="n">
        <x:v>20000</x:v>
      </x:c>
    </x:row>
    <x:row r="12">
      <x:c r="A12" t="inlineStr">
        <x:is>
          <x:t xml:space="preserve">Net monetary benefit</x:t>
        </x:is>
      </x:c>
      <x:c r="B12" s="77" t="n">
        <x:f>B11*B9-B8</x:f>
        <x:v>350.00000000000057</x:v>
      </x:c>
    </x:row>
    <x:row r="13">
      <x:c r="A13" t="inlineStr">
        <x:is>
          <x:t xml:space="preserve">Decision</x:t>
        </x:is>
      </x:c>
      <x:c r="B13" s="47" t="str">
        <x:f>IF(B12&gt;=0,"Cost-effective at threshold","Not cost-effective at threshold")</x:f>
        <x:v>Cost-effective at threshold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0" style="44" customWidth="1"/>
    <x:col min="2" max="2" width="20" style="44" customWidth="1"/>
    <x:col min="3" max="3" width="18" style="44" customWidth="1"/>
    <x:col min="4" max="4" width="18" style="44" customWidth="1"/>
    <x:col min="5" max="5" width="20" style="44" customWidth="1"/>
  </x:cols>
  <x:sheetData>
    <x:row r="1">
      <x:c r="A1" s="73" t="inlineStr">
        <x:is>
          <x:t xml:space="preserve">Five-Year Budget Impact</x:t>
        </x:is>
      </x:c>
      <x:c r="B1" s="1" t="n"/>
      <x:c r="C1" s="1" t="n"/>
      <x:c r="D1" s="1" t="n"/>
      <x:c r="E1" s="1" t="n"/>
    </x:row>
    <x:row r="2"/>
    <x:row r="3">
      <x:c r="A3" s="75" t="inlineStr">
        <x:is>
          <x:t xml:space="preserve">Year</x:t>
        </x:is>
      </x:c>
      <x:c r="B3" s="75" t="inlineStr">
        <x:is>
          <x:t xml:space="preserve">Implementation cost</x:t>
        </x:is>
      </x:c>
      <x:c r="C3" s="75" t="inlineStr">
        <x:is>
          <x:t xml:space="preserve">Recurring cost</x:t>
        </x:is>
      </x:c>
      <x:c r="D3" s="75" t="inlineStr">
        <x:is>
          <x:t xml:space="preserve">Estimated savings</x:t>
        </x:is>
      </x:c>
      <x:c r="E3" s="75" t="inlineStr">
        <x:is>
          <x:t xml:space="preserve">Net budget impact</x:t>
        </x:is>
      </x:c>
    </x:row>
    <x:row r="4">
      <x:c r="A4" t="n">
        <x:v>1</x:v>
      </x:c>
      <x:c r="B4" s="79" t="n">
        <x:v>150000</x:v>
      </x:c>
      <x:c r="C4" s="79" t="n">
        <x:v>80000</x:v>
      </x:c>
      <x:c r="D4" s="79" t="n">
        <x:v>40000</x:v>
      </x:c>
      <x:c r="E4" s="49" t="n">
        <x:f>B4+C4-D4</x:f>
        <x:v>190000</x:v>
      </x:c>
    </x:row>
    <x:row r="5">
      <x:c r="A5" t="n">
        <x:v>2</x:v>
      </x:c>
      <x:c r="B5" s="79" t="n">
        <x:v>0</x:v>
      </x:c>
      <x:c r="C5" s="79" t="n">
        <x:v>90000</x:v>
      </x:c>
      <x:c r="D5" s="79" t="n">
        <x:v>90000</x:v>
      </x:c>
      <x:c r="E5" s="49" t="n">
        <x:f>B5+C5-D5</x:f>
        <x:v>0</x:v>
      </x:c>
    </x:row>
    <x:row r="6">
      <x:c r="A6" t="n">
        <x:v>3</x:v>
      </x:c>
      <x:c r="B6" s="79" t="n">
        <x:v>0</x:v>
      </x:c>
      <x:c r="C6" s="79" t="n">
        <x:v>95000</x:v>
      </x:c>
      <x:c r="D6" s="79" t="n">
        <x:v>130000</x:v>
      </x:c>
      <x:c r="E6" s="49" t="n">
        <x:f>B6+C6-D6</x:f>
        <x:v>-35000</x:v>
      </x:c>
    </x:row>
    <x:row r="7">
      <x:c r="A7" t="n">
        <x:v>4</x:v>
      </x:c>
      <x:c r="B7" s="79" t="n">
        <x:v>0</x:v>
      </x:c>
      <x:c r="C7" s="79" t="n">
        <x:v>100000</x:v>
      </x:c>
      <x:c r="D7" s="79" t="n">
        <x:v>150000</x:v>
      </x:c>
      <x:c r="E7" s="49" t="n">
        <x:f>B7+C7-D7</x:f>
        <x:v>-50000</x:v>
      </x:c>
    </x:row>
    <x:row r="8">
      <x:c r="A8" t="n">
        <x:v>5</x:v>
      </x:c>
      <x:c r="B8" s="79" t="n">
        <x:v>0</x:v>
      </x:c>
      <x:c r="C8" s="79" t="n">
        <x:v>105000</x:v>
      </x:c>
      <x:c r="D8" s="79" t="n">
        <x:v>165000</x:v>
      </x:c>
      <x:c r="E8" s="49" t="n">
        <x:f>B8+C8-D8</x:f>
        <x:v>-60000</x:v>
      </x:c>
    </x:row>
  </x:sheetData>
  <x:mergeCells>
    <x:mergeCell ref="A1:E1"/>
  </x:mergeCells>
  <x:pageMargins left="0.7" right="0.7" top="0.75" bottom="0.75" header="0.3" footer="0.3"/>
  <x:drawing xmlns:r="http://schemas.openxmlformats.org/officeDocument/2006/relationships" r:id="Rcdb9455f6b32433f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