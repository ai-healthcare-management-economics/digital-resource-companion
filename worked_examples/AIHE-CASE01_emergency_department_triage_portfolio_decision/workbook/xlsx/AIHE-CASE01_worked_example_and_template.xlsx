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441db2f65a34371" /></Relationships>
</file>

<file path=xl/workbook.xml><?xml version="1.0" encoding="utf-8"?>
<x:workbook xmlns:x="http://schemas.openxmlformats.org/spreadsheetml/2006/main">
  <x:sheets>
    <x:sheet xmlns:r="http://schemas.openxmlformats.org/officeDocument/2006/relationships" name="Guide" sheetId="1" r:id="R6d783117ce1d4620"/>
    <x:sheet xmlns:r="http://schemas.openxmlformats.org/officeDocument/2006/relationships" name="Worked Inputs" sheetId="2" r:id="Rfe761207b3e24c63"/>
    <x:sheet xmlns:r="http://schemas.openxmlformats.org/officeDocument/2006/relationships" name="Blank Template" sheetId="3" r:id="R6f4b8b4c7a334496"/>
    <x:sheet xmlns:r="http://schemas.openxmlformats.org/officeDocument/2006/relationships" name="Decision Summary" sheetId="4" r:id="Re5dcec356e414545"/>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23313D"/>
      <x:name val="Carlito"/>
    </x:font>
    <x:font>
      <x:b/>
      <x:sz val="11"/>
      <x:color rgb="FFFFFFFF"/>
      <x:name val="Carlito"/>
    </x:font>
    <x:font>
      <x:i/>
      <x:sz val="11"/>
      <x:name val="Carlito"/>
    </x:font>
    <x:font>
      <x:b/>
      <x:sz val="11"/>
      <x:color rgb="FF303236"/>
      <x:name val="Carlito"/>
    </x:font>
  </x:fonts>
  <x:fills count="9">
    <x:fill>
      <x:patternFill patternType="none"/>
    </x:fill>
    <x:fill>
      <x:patternFill patternType="gray125"/>
    </x:fill>
    <x:fill>
      <x:patternFill patternType="solid">
        <x:fgColor rgb="FF7A1731"/>
      </x:patternFill>
    </x:fill>
    <x:fill>
      <x:patternFill patternType="solid">
        <x:fgColor rgb="FFE8DDD5"/>
      </x:patternFill>
    </x:fill>
    <x:fill>
      <x:patternFill patternType="solid">
        <x:fgColor rgb="FFB38A52"/>
      </x:patternFill>
    </x:fill>
    <x:fill>
      <x:patternFill patternType="solid">
        <x:fgColor rgb="FFF7F3EF"/>
      </x:patternFill>
    </x:fill>
    <x:fill>
      <x:patternFill patternType="solid">
        <x:fgColor rgb="FFFFF3CD"/>
      </x:patternFill>
    </x:fill>
    <x:fill>
      <x:patternFill patternType="solid">
        <x:fgColor rgb="FF6B2230"/>
      </x:patternFill>
    </x:fill>
    <x:fill>
      <x:patternFill patternType="solid">
        <x:fgColor rgb="FFF5F0E7"/>
      </x:patternFill>
    </x:fill>
  </x:fills>
  <x:borders count="36">
    <x:border/>
    <x:border/>
    <x:border>
      <x:left style="thin">
        <x:color rgb="FFB7A89F"/>
      </x:left>
      <x:right style="thin">
        <x:color rgb="FFB7A89F"/>
      </x:right>
      <x:top style="thin">
        <x:color rgb="FFB7A89F"/>
      </x:top>
    </x:border>
    <x:border>
      <x:left style="thin">
        <x:color rgb="FFB7A89F"/>
      </x:left>
      <x:right style="thin">
        <x:color rgb="FFB7A89F"/>
      </x:right>
    </x:border>
    <x:border>
      <x:left style="thin">
        <x:color rgb="FFB7A89F"/>
      </x:left>
      <x:right style="thin">
        <x:color rgb="FFB7A89F"/>
      </x:right>
      <x:bottom style="thin">
        <x:color rgb="FFB7A89F"/>
      </x:bottom>
    </x:border>
    <x:border>
      <x:left style="thin">
        <x:color rgb="FFB7A89F"/>
      </x:left>
      <x:right style="thin">
        <x:color rgb="FFB7A89F"/>
      </x:right>
      <x:top style="thin">
        <x:color rgb="FFB7A89F"/>
      </x:top>
    </x:border>
    <x:border>
      <x:left style="thin">
        <x:color rgb="FFB7A89F"/>
      </x:left>
      <x:right style="thin">
        <x:color rgb="FFB7A89F"/>
      </x:right>
    </x:border>
    <x:border>
      <x:left style="thin">
        <x:color rgb="FFB7A89F"/>
      </x:left>
      <x:right style="thin">
        <x:color rgb="FFB7A89F"/>
      </x:right>
      <x:bottom style="thin">
        <x:color rgb="FFB7A89F"/>
      </x:bottom>
    </x:border>
    <x:border>
      <x:left style="thin">
        <x:color rgb="FFDED6D0"/>
      </x:left>
      <x:right style="thin">
        <x:color rgb="FFDED6D0"/>
      </x:right>
      <x:top style="thin">
        <x:color rgb="FFDED6D0"/>
      </x:top>
    </x:border>
    <x:border>
      <x:left style="thin">
        <x:color rgb="FFDED6D0"/>
      </x:left>
      <x:right style="thin">
        <x:color rgb="FFDED6D0"/>
      </x:right>
    </x:border>
    <x:border>
      <x:left style="thin">
        <x:color rgb="FFDED6D0"/>
      </x:left>
      <x:right style="thin">
        <x:color rgb="FFDED6D0"/>
      </x:right>
      <x:bottom style="thin">
        <x:color rgb="FFDED6D0"/>
      </x:bottom>
    </x:border>
    <x:border>
      <x:left style="thin">
        <x:color rgb="FFDED6D0"/>
      </x:left>
      <x:right style="thin">
        <x:color rgb="FFDED6D0"/>
      </x:right>
      <x:top style="thin">
        <x:color rgb="FFDED6D0"/>
      </x:top>
    </x:border>
    <x:border>
      <x:left style="thin">
        <x:color rgb="FFDED6D0"/>
      </x:left>
      <x:right style="thin">
        <x:color rgb="FFDED6D0"/>
      </x:right>
    </x:border>
    <x:border>
      <x:left style="thin">
        <x:color rgb="FFDED6D0"/>
      </x:left>
      <x:right style="thin">
        <x:color rgb="FFDED6D0"/>
      </x:right>
      <x:bottom style="thin">
        <x:color rgb="FFDED6D0"/>
      </x:bottom>
    </x:border>
    <x:border>
      <x:left style="thin">
        <x:color rgb="FFB7A89F"/>
      </x:left>
      <x:top style="thin">
        <x:color rgb="FFB7A89F"/>
      </x:top>
      <x:bottom style="thin">
        <x:color rgb="FFB7A89F"/>
      </x:bottom>
    </x:border>
    <x:border>
      <x:top style="thin">
        <x:color rgb="FFB7A89F"/>
      </x:top>
      <x:bottom style="thin">
        <x:color rgb="FFB7A89F"/>
      </x:bottom>
    </x:border>
    <x:border>
      <x:right style="thin">
        <x:color rgb="FFB7A89F"/>
      </x:right>
      <x:top style="thin">
        <x:color rgb="FFB7A89F"/>
      </x:top>
      <x:bottom style="thin">
        <x:color rgb="FFB7A89F"/>
      </x:bottom>
    </x:border>
    <x:border>
      <x:left style="thin">
        <x:color rgb="FFB7A89F"/>
      </x:left>
      <x:top style="thin">
        <x:color rgb="FFB7A89F"/>
      </x:top>
      <x:bottom style="thin">
        <x:color rgb="FFB7A89F"/>
      </x:bottom>
    </x:border>
    <x:border>
      <x:top style="thin">
        <x:color rgb="FFB7A89F"/>
      </x:top>
      <x:bottom style="thin">
        <x:color rgb="FFB7A89F"/>
      </x:bottom>
    </x:border>
    <x:border>
      <x:right style="thin">
        <x:color rgb="FFB7A89F"/>
      </x:right>
      <x:top style="thin">
        <x:color rgb="FFB7A89F"/>
      </x:top>
      <x:bottom style="thin">
        <x:color rgb="FFB7A89F"/>
      </x:bottom>
    </x:border>
    <x:border>
      <x:left style="thin">
        <x:color rgb="FFDED6D0"/>
      </x:left>
      <x:top style="thin">
        <x:color rgb="FFDED6D0"/>
      </x:top>
    </x:border>
    <x:border>
      <x:top style="thin">
        <x:color rgb="FFDED6D0"/>
      </x:top>
    </x:border>
    <x:border>
      <x:right style="thin">
        <x:color rgb="FFDED6D0"/>
      </x:right>
      <x:top style="thin">
        <x:color rgb="FFDED6D0"/>
      </x:top>
    </x:border>
    <x:border>
      <x:left style="thin">
        <x:color rgb="FFDED6D0"/>
      </x:left>
    </x:border>
    <x:border>
      <x:right style="thin">
        <x:color rgb="FFDED6D0"/>
      </x:right>
    </x:border>
    <x:border>
      <x:left style="thin">
        <x:color rgb="FFDED6D0"/>
      </x:left>
      <x:bottom style="thin">
        <x:color rgb="FFDED6D0"/>
      </x:bottom>
    </x:border>
    <x:border>
      <x:bottom style="thin">
        <x:color rgb="FFDED6D0"/>
      </x:bottom>
    </x:border>
    <x:border>
      <x:right style="thin">
        <x:color rgb="FFDED6D0"/>
      </x:right>
      <x:bottom style="thin">
        <x:color rgb="FFDED6D0"/>
      </x:bottom>
    </x:border>
    <x:border>
      <x:left style="thin">
        <x:color rgb="FFDED6D0"/>
      </x:left>
      <x:top style="thin">
        <x:color rgb="FFDED6D0"/>
      </x:top>
    </x:border>
    <x:border>
      <x:top style="thin">
        <x:color rgb="FFDED6D0"/>
      </x:top>
    </x:border>
    <x:border>
      <x:right style="thin">
        <x:color rgb="FFDED6D0"/>
      </x:right>
      <x:top style="thin">
        <x:color rgb="FFDED6D0"/>
      </x:top>
    </x:border>
    <x:border>
      <x:left style="thin">
        <x:color rgb="FFDED6D0"/>
      </x:left>
    </x:border>
    <x:border>
      <x:right style="thin">
        <x:color rgb="FFDED6D0"/>
      </x:right>
    </x:border>
    <x:border>
      <x:left style="thin">
        <x:color rgb="FFDED6D0"/>
      </x:left>
      <x:bottom style="thin">
        <x:color rgb="FFDED6D0"/>
      </x:bottom>
    </x:border>
    <x:border>
      <x:bottom style="thin">
        <x:color rgb="FFDED6D0"/>
      </x:bottom>
    </x:border>
    <x:border>
      <x:right style="thin">
        <x:color rgb="FFDED6D0"/>
      </x:right>
      <x:bottom style="thin">
        <x:color rgb="FFDED6D0"/>
      </x:bottom>
    </x:border>
  </x:borders>
  <x:cellStyleXfs count="1">
    <x:xf numFmtId="0" fontId="0" fillId="0" borderId="0"/>
  </x:cellStyleXfs>
  <x:cellXfs count="1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2" fillId="3" borderId="14" xfId="0" applyNumberFormat="1" applyFont="1" applyFill="1" applyBorder="1"/>
    <x:xf numFmtId="0" fontId="2" fillId="3" borderId="15" xfId="0" applyNumberFormat="1" applyFont="1" applyFill="1" applyBorder="1"/>
    <x:xf numFmtId="0" fontId="2" fillId="3" borderId="16" xfId="0" applyNumberFormat="1" applyFont="1" applyFill="1" applyBorder="1"/>
    <x:xf numFmtId="0" fontId="2" fillId="3" borderId="14" xfId="0" applyNumberFormat="1" applyFont="1" applyFill="1" applyBorder="1" applyAlignment="1">
      <x:alignment wrapText="1"/>
    </x:xf>
    <x:xf numFmtId="0" fontId="2" fillId="3" borderId="15" xfId="0" applyNumberFormat="1" applyFont="1" applyFill="1" applyBorder="1" applyAlignment="1">
      <x:alignment wrapText="1"/>
    </x:xf>
    <x:xf numFmtId="0" fontId="2" fillId="3" borderId="16" xfId="0" applyNumberFormat="1" applyFont="1" applyFill="1" applyBorder="1" applyAlignment="1">
      <x:alignment wrapText="1"/>
    </x:xf>
    <x:xf numFmtId="0" fontId="2" fillId="3" borderId="14" xfId="0" applyNumberFormat="1" applyFont="1" applyFill="1" applyBorder="1" applyAlignment="1">
      <x:alignment wrapText="1"/>
    </x:xf>
    <x:xf numFmtId="0" fontId="2" fillId="3" borderId="15" xfId="0" applyNumberFormat="1" applyFont="1" applyFill="1" applyBorder="1" applyAlignment="1">
      <x:alignment wrapText="1"/>
    </x:xf>
    <x:xf numFmtId="0" fontId="2" fillId="3" borderId="16" xfId="0" applyNumberFormat="1" applyFont="1" applyFill="1" applyBorder="1" applyAlignment="1">
      <x:alignment wrapText="1"/>
    </x:xf>
    <x:xf numFmtId="0" fontId="2" fillId="3" borderId="14" xfId="0" applyNumberFormat="1" applyFont="1" applyFill="1" applyBorder="1" applyAlignment="1">
      <x:alignment wrapText="1"/>
    </x:xf>
    <x:xf numFmtId="0" fontId="2" fillId="3" borderId="15" xfId="0" applyNumberFormat="1" applyFont="1" applyFill="1" applyBorder="1" applyAlignment="1">
      <x:alignment wrapText="1"/>
    </x:xf>
    <x:xf numFmtId="0" fontId="2" fillId="3" borderId="16" xfId="0" applyNumberFormat="1" applyFont="1" applyFill="1" applyBorder="1" applyAlignment="1">
      <x:alignment wrapText="1"/>
    </x:xf>
    <x:xf numFmtId="0" fontId="2" fillId="3" borderId="17" xfId="0" applyNumberFormat="1" applyFont="1" applyFill="1" applyBorder="1"/>
    <x:xf numFmtId="0" fontId="2" fillId="3" borderId="18" xfId="0" applyNumberFormat="1" applyFont="1" applyFill="1" applyBorder="1"/>
    <x:xf numFmtId="0" fontId="2" fillId="3" borderId="19" xfId="0" applyNumberFormat="1" applyFont="1" applyFill="1" applyBorder="1"/>
    <x:xf numFmtId="0" fontId="2" fillId="3" borderId="17" xfId="0" applyNumberFormat="1" applyFont="1" applyFill="1" applyBorder="1" applyAlignment="1">
      <x:alignment wrapText="1"/>
    </x:xf>
    <x:xf numFmtId="0" fontId="2" fillId="3" borderId="18"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7" xfId="0" applyNumberFormat="1" applyFont="1" applyFill="1" applyBorder="1" applyAlignment="1">
      <x:alignment wrapText="1"/>
    </x:xf>
    <x:xf numFmtId="0" fontId="2" fillId="3" borderId="18"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7" xfId="0" applyNumberFormat="1" applyFont="1" applyFill="1" applyBorder="1" applyAlignment="1">
      <x:alignment wrapText="1"/>
    </x:xf>
    <x:xf numFmtId="0" fontId="2" fillId="3" borderId="18" xfId="0" applyNumberFormat="1" applyFont="1" applyFill="1" applyBorder="1" applyAlignment="1">
      <x:alignment wrapText="1"/>
    </x:xf>
    <x:xf numFmtId="0" fontId="2" fillId="3" borderId="19" xfId="0" applyNumberFormat="1" applyFont="1" applyFill="1" applyBorder="1" applyAlignment="1">
      <x:alignment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0" borderId="24" xfId="0" applyNumberFormat="1" applyFont="1" applyFill="1" applyBorder="1" applyAlignment="1">
      <x:alignment vertical="top" wrapText="1"/>
    </x:xf>
    <x:xf numFmtId="0" fontId="0" fillId="0" borderId="25" xfId="0" applyNumberFormat="1" applyFont="1" applyFill="1" applyBorder="1" applyAlignment="1">
      <x:alignment vertical="top" wrapText="1"/>
    </x:xf>
    <x:xf numFmtId="0" fontId="0" fillId="0" borderId="26" xfId="0" applyNumberFormat="1" applyFont="1" applyFill="1" applyBorder="1" applyAlignment="1">
      <x:alignment vertical="top" wrapText="1"/>
    </x:xf>
    <x:xf numFmtId="0" fontId="0" fillId="0" borderId="27" xfId="0" applyNumberFormat="1" applyFont="1" applyFill="1" applyBorder="1" applyAlignment="1">
      <x:alignment vertical="top" wrapText="1"/>
    </x:xf>
    <x:xf numFmtId="0" fontId="0" fillId="0" borderId="28" xfId="0" applyNumberFormat="1" applyFont="1" applyFill="1" applyBorder="1" applyAlignment="1">
      <x:alignment vertical="top" wrapText="1"/>
    </x:xf>
    <x:xf numFmtId="0" fontId="0" fillId="0" borderId="29" xfId="0" applyNumberFormat="1" applyFont="1" applyFill="1" applyBorder="1" applyAlignment="1">
      <x:alignment vertical="top" wrapText="1"/>
    </x:xf>
    <x:xf numFmtId="0" fontId="0" fillId="0" borderId="30" xfId="0" applyNumberFormat="1" applyFont="1" applyFill="1" applyBorder="1" applyAlignment="1">
      <x:alignment vertical="top" wrapText="1"/>
    </x:xf>
    <x:xf numFmtId="0" fontId="0" fillId="0" borderId="31" xfId="0" applyNumberFormat="1" applyFont="1" applyFill="1" applyBorder="1" applyAlignment="1">
      <x:alignment vertical="top" wrapText="1"/>
    </x:xf>
    <x:xf numFmtId="0" fontId="0" fillId="0" borderId="32" xfId="0" applyNumberFormat="1" applyFont="1" applyFill="1" applyBorder="1" applyAlignment="1">
      <x:alignment vertical="top" wrapText="1"/>
    </x:xf>
    <x:xf numFmtId="0" fontId="0" fillId="0" borderId="33" xfId="0" applyNumberFormat="1" applyFont="1" applyFill="1" applyBorder="1" applyAlignment="1">
      <x:alignment vertical="top" wrapText="1"/>
    </x:xf>
    <x:xf numFmtId="0" fontId="0" fillId="0" borderId="34" xfId="0" applyNumberFormat="1" applyFont="1" applyFill="1" applyBorder="1" applyAlignment="1">
      <x:alignment vertical="top" wrapText="1"/>
    </x:xf>
    <x:xf numFmtId="0" fontId="0" fillId="0" borderId="35"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5" borderId="1" xfId="0" applyNumberFormat="1" applyFont="1" applyFill="1" applyBorder="1"/>
    <x:xf numFmtId="0" fontId="0" fillId="5" borderId="1" xfId="0" applyNumberFormat="1" applyFont="1" applyFill="1" applyBorder="1" applyAlignment="1">
      <x:alignment wrapText="1"/>
    </x:xf>
    <x:xf numFmtId="0" fontId="0" fillId="5" borderId="1" xfId="0" applyNumberFormat="1" applyFont="1" applyFill="1" applyBorder="1" applyAlignment="1">
      <x:alignment vertical="top" wrapText="1"/>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0" fillId="0" borderId="0" xfId="0" applyNumberFormat="1" applyFont="1" applyFill="1" applyBorder="1"/>
    <x:xf numFmtId="0" fontId="1" fillId="7" borderId="0" xfId="0" applyNumberFormat="1" applyFont="1" applyFill="1" applyBorder="1" applyAlignment="1">
      <x:alignment wrapText="1"/>
    </x:xf>
    <x:xf numFmtId="0" fontId="2" fillId="8" borderId="2" xfId="0" applyNumberFormat="1" applyFont="1" applyFill="1" applyBorder="1" applyAlignment="1">
      <x:alignment wrapText="1"/>
    </x:xf>
    <x:xf numFmtId="0" fontId="5" fillId="8" borderId="2" xfId="0" applyNumberFormat="1" applyFont="1" applyFill="1" applyBorder="1" applyAlignment="1">
      <x:alignment wrapText="1"/>
    </x:xf>
    <x:xf numFmtId="0" fontId="2" fillId="8" borderId="3" xfId="0" applyNumberFormat="1" applyFont="1" applyFill="1" applyBorder="1" applyAlignment="1">
      <x:alignment wrapText="1"/>
    </x:xf>
    <x:xf numFmtId="0" fontId="5" fillId="8" borderId="3" xfId="0" applyNumberFormat="1" applyFont="1" applyFill="1" applyBorder="1" applyAlignment="1">
      <x:alignment wrapText="1"/>
    </x:xf>
    <x:xf numFmtId="0" fontId="2" fillId="8" borderId="4" xfId="0" applyNumberFormat="1" applyFont="1" applyFill="1" applyBorder="1" applyAlignment="1">
      <x:alignment wrapText="1"/>
    </x:xf>
    <x:xf numFmtId="0" fontId="5" fillId="8" borderId="4" xfId="0" applyNumberFormat="1" applyFont="1" applyFill="1" applyBorder="1" applyAlignment="1">
      <x:alignment wrapText="1"/>
    </x:xf>
    <x:xf numFmtId="0" fontId="2" fillId="8" borderId="14" xfId="0" applyNumberFormat="1" applyFont="1" applyFill="1" applyBorder="1" applyAlignment="1">
      <x:alignment wrapText="1"/>
    </x:xf>
    <x:xf numFmtId="0" fontId="2" fillId="8" borderId="15" xfId="0" applyNumberFormat="1" applyFont="1" applyFill="1" applyBorder="1" applyAlignment="1">
      <x:alignment wrapText="1"/>
    </x:xf>
    <x:xf numFmtId="0" fontId="2" fillId="8" borderId="16" xfId="0" applyNumberFormat="1" applyFont="1" applyFill="1" applyBorder="1" applyAlignment="1">
      <x:alignment wrapText="1"/>
    </x:xf>
    <x:xf numFmtId="0" fontId="5" fillId="8" borderId="14" xfId="0" applyNumberFormat="1" applyFont="1" applyFill="1" applyBorder="1" applyAlignment="1">
      <x:alignment wrapText="1"/>
    </x:xf>
    <x:xf numFmtId="0" fontId="5" fillId="8" borderId="15" xfId="0" applyNumberFormat="1" applyFont="1" applyFill="1" applyBorder="1" applyAlignment="1">
      <x:alignment wrapText="1"/>
    </x:xf>
    <x:xf numFmtId="0" fontId="5" fillId="8" borderId="16" xfId="0" applyNumberFormat="1" applyFont="1" applyFill="1" applyBorder="1" applyAlignment="1">
      <x:alignment wrapText="1"/>
    </x:xf>
    <x:xf numFmtId="0" fontId="3" fillId="7" borderId="0" xfId="0" applyNumberFormat="1" applyFont="1" applyFill="1" applyBorder="1"/>
    <x:xf numFmtId="0" fontId="0" fillId="8" borderId="0" xfId="0" applyNumberFormat="1" applyFont="1" applyFill="1" applyBorder="1" applyAlignment="1">
      <x:alignment vertical="top" wrapText="1"/>
    </x:xf>
    <x:xf numFmtId="0" fontId="4" fillId="8"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81afac00e1f4ead" /><Relationship Type="http://schemas.openxmlformats.org/officeDocument/2006/relationships/theme" Target="/xl/theme/theme1.xml" Id="R720c5c4e7ba949a3" /><Relationship Type="http://schemas.openxmlformats.org/officeDocument/2006/relationships/sharedStrings" Target="/xl/sharedStrings.xml" Id="Rbb30981f6e604239" /><Relationship Type="http://schemas.openxmlformats.org/officeDocument/2006/relationships/worksheet" Target="/xl/worksheets/sheet1.xml" Id="R6d783117ce1d4620" /><Relationship Type="http://schemas.openxmlformats.org/officeDocument/2006/relationships/worksheet" Target="/xl/worksheets/sheet2.xml" Id="Rfe761207b3e24c63" /><Relationship Type="http://schemas.openxmlformats.org/officeDocument/2006/relationships/worksheet" Target="/xl/worksheets/sheet3.xml" Id="R6f4b8b4c7a334496" /><Relationship Type="http://schemas.openxmlformats.org/officeDocument/2006/relationships/worksheet" Target="/xl/worksheets/sheet4.xml" Id="Re5dcec356e414545" /></Relationships>
</file>

<file path=xl/theme/theme1.xml><?xml version="1.0" encoding="utf-8"?>
<a:theme xmlns:a="http://schemas.openxmlformats.org/drawingml/2006/main" name="AcademicResourceTheme">
  <a:themeElements>
    <a:clrScheme name="AcademicResourceThem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AcademicResourceThem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85" hidden="0" customWidth="1"/>
  </x:cols>
  <x:sheetData>
    <x:row r="1">
      <x:c r="A1" s="102" t="str">
        <x:v>Emergency-Department Triage Portfolio Decision</x:v>
      </x:c>
      <x:c r="B1" s="102"/>
      <x:c r="C1" s="102"/>
      <x:c r="D1" s="102"/>
      <x:c r="E1" s="102"/>
      <x:c r="F1" s="102"/>
    </x:row>
    <x:row r="2">
      <x:c r="A2" s="102"/>
      <x:c r="B2" s="102"/>
      <x:c r="C2" s="102"/>
      <x:c r="D2" s="102"/>
      <x:c r="E2" s="102"/>
      <x:c r="F2" s="102"/>
    </x:row>
    <x:row r="4">
      <x:c r="A4" s="104" t="str">
        <x:v>Example ID</x:v>
      </x:c>
      <x:c r="B4" s="42" t="str">
        <x:v>AIHE-CASE01</x:v>
      </x:c>
    </x:row>
    <x:row r="5">
      <x:c r="A5" s="106" t="str">
        <x:v>Chapter</x:v>
      </x:c>
      <x:c r="B5" s="43" t="str">
        <x:v>1: AI as a Health System Intervention</x:v>
      </x:c>
    </x:row>
    <x:row r="6">
      <x:c r="A6" s="106" t="str">
        <x:v>Decision question</x:v>
      </x:c>
      <x:c r="B6" s="43" t="str">
        <x:v>Which intervention should the hospital test first when AI, staffing, and process redesign compete for the same limited resources?</x:v>
      </x:c>
    </x:row>
    <x:row r="7">
      <x:c r="A7" s="106" t="str">
        <x:v>Status</x:v>
      </x:c>
      <x:c r="B7" s="43" t="str">
        <x:v>Synthetic demonstration only</x:v>
      </x:c>
    </x:row>
    <x:row r="8">
      <x:c r="A8" s="106" t="str">
        <x:v>Version</x:v>
      </x:c>
      <x:c r="B8" s="43" t="str">
        <x:v>V1.0</x:v>
      </x:c>
    </x:row>
    <x:row r="9">
      <x:c r="A9" s="106" t="str">
        <x:v>Release date</x:v>
      </x:c>
      <x:c r="B9" s="43" t="str">
        <x:v>2026-08-06</x:v>
      </x:c>
    </x:row>
    <x:row r="10">
      <x:c r="A10" s="106" t="str">
        <x:v>How to use</x:v>
      </x:c>
      <x:c r="B10" s="43" t="str">
        <x:v>Review Worked Inputs and Calculations; compare with Decision Summary; use Blank Template for local adaptation.</x:v>
      </x:c>
    </x:row>
    <x:row r="11">
      <x:c r="A11" s="106" t="str">
        <x:v>Related resources</x:v>
      </x:c>
      <x:c r="B11" s="43" t="str">
        <x:v>AIHE-A01, AIHE-W, AIHE-X, AIHE-EX01, AIHE-K, AIHE-H</x:v>
      </x:c>
    </x:row>
    <x:row r="12">
      <x:c r="A12" s="108" t="str">
        <x:v>Data protection</x:v>
      </x:c>
      <x:c r="B12" s="44" t="str">
        <x:v>Do not enter identifiable patient information, credentials, private keys, or confidential contract information into uncontrolled copies.</x:v>
      </x:c>
    </x:row>
  </x:sheetData>
  <x:mergeCells>
    <x:mergeCell ref="A1:F2"/>
  </x:mergeCells>
  <x:pageMargins left="0.7" right="0.7" top="0.75" bottom="0.75" header="0.3" footer="0.3"/>
</x:worksheet>
</file>

<file path=xl/worksheets/sheet2.xml><?xml version="1.0" encoding="utf-8"?>
<x:worksheet xmlns:x="http://schemas.openxmlformats.org/spreadsheetml/2006/main">
  <x:sheetFormatPr defaultRowHeight="15"/>
  <x:cols>
    <x:col min="1" max="1" width="32"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18" hidden="0" customWidth="1"/>
    <x:col min="10" max="10" width="18" hidden="0" customWidth="1"/>
    <x:col min="11" max="11" width="18" hidden="0" customWidth="1"/>
  </x:cols>
  <x:sheetData>
    <x:row r="1">
      <x:c r="A1" s="102" t="str">
        <x:v>Worked synthetic inputs and calculations</x:v>
      </x:c>
      <x:c r="B1" s="102"/>
      <x:c r="C1" s="102"/>
      <x:c r="D1" s="102"/>
      <x:c r="E1" s="102"/>
      <x:c r="F1" s="102"/>
      <x:c r="G1" s="102"/>
      <x:c r="H1" s="102"/>
      <x:c r="I1" s="102"/>
      <x:c r="J1" s="102"/>
      <x:c r="K1" s="102"/>
      <x:c r="L1" s="102"/>
      <x:c r="M1" s="102"/>
    </x:row>
    <x:row r="3">
      <x:c r="A3" s="112" t="str">
        <x:v>Option</x:v>
      </x:c>
      <x:c r="B3" s="113" t="str">
        <x:v>Upfront cost</x:v>
      </x:c>
      <x:c r="C3" s="113" t="str">
        <x:v>Annual cost</x:v>
      </x:c>
      <x:c r="D3" s="113" t="str">
        <x:v>Wait-time reduction (min)</x:v>
      </x:c>
      <x:c r="E3" s="113" t="str">
        <x:v>Adverse events avoided/year</x:v>
      </x:c>
      <x:c r="F3" s="113" t="str">
        <x:v>Implementation months</x:v>
      </x:c>
      <x:c r="G3" s="113" t="str">
        <x:v>Reversibility (1-5)</x:v>
      </x:c>
      <x:c r="H3" s="114" t="str">
        <x:v>Equity risk (1-5)</x:v>
      </x:c>
      <x:c r="I3" s="112" t="str">
        <x:v>Five-year cost</x:v>
      </x:c>
      <x:c r="J3" s="113" t="str">
        <x:v>Benefit score</x:v>
      </x:c>
      <x:c r="K3" s="114" t="str">
        <x:v>Decision score</x:v>
      </x:c>
    </x:row>
    <x:row r="4">
      <x:c r="A4" s="72" t="str">
        <x:v>AI triage</x:v>
      </x:c>
      <x:c r="B4" s="73" t="n">
        <x:v>420000</x:v>
      </x:c>
      <x:c r="C4" s="73" t="n">
        <x:v>180000</x:v>
      </x:c>
      <x:c r="D4" s="73" t="n">
        <x:v>18</x:v>
      </x:c>
      <x:c r="E4" s="73" t="n">
        <x:v>12</x:v>
      </x:c>
      <x:c r="F4" s="73" t="n">
        <x:v>9</x:v>
      </x:c>
      <x:c r="G4" s="73" t="n">
        <x:v>2</x:v>
      </x:c>
      <x:c r="H4" s="74" t="n">
        <x:v>3</x:v>
      </x:c>
      <x:c r="I4" s="72" t="n">
        <x:f>B4+5*C4</x:f>
        <x:v>1320000</x:v>
      </x:c>
      <x:c r="J4" s="73" t="n">
        <x:f>0.35*(D4/MAX($D$4:$D$7)*100)+0.35*(E4/MAX($E$4:$E$7)*100)+0.15*(G4/5*100)+0.15*((6-H4)/5*100)</x:f>
        <x:v>69.25</x:v>
      </x:c>
      <x:c r="K4" s="74" t="n">
        <x:f>J4-0.2*(I4/MAX($I$4:$I$7)*100)</x:f>
        <x:v>59.32518796992481</x:v>
      </x:c>
    </x:row>
    <x:row r="5">
      <x:c r="A5" s="75" t="str">
        <x:v>Additional triage nurses</x:v>
      </x:c>
      <x:c r="B5" s="40" t="n">
        <x:v>60000</x:v>
      </x:c>
      <x:c r="C5" s="40" t="n">
        <x:v>520000</x:v>
      </x:c>
      <x:c r="D5" s="40" t="n">
        <x:v>15</x:v>
      </x:c>
      <x:c r="E5" s="40" t="n">
        <x:v>10</x:v>
      </x:c>
      <x:c r="F5" s="40" t="n">
        <x:v>4</x:v>
      </x:c>
      <x:c r="G5" s="40" t="n">
        <x:v>4</x:v>
      </x:c>
      <x:c r="H5" s="76" t="n">
        <x:v>1</x:v>
      </x:c>
      <x:c r="I5" s="75" t="n">
        <x:f>B5+5*C5</x:f>
        <x:v>2660000</x:v>
      </x:c>
      <x:c r="J5" s="40" t="n">
        <x:f>0.35*(D5/MAX($D$4:$D$7)*100)+0.35*(E5/MAX($E$4:$E$7)*100)+0.15*(G5/5*100)+0.15*((6-H5)/5*100)</x:f>
        <x:v>72.20833333333333</x:v>
      </x:c>
      <x:c r="K5" s="76" t="n">
        <x:f>J5-0.2*(I5/MAX($I$4:$I$7)*100)</x:f>
        <x:v>52.20833333333333</x:v>
      </x:c>
    </x:row>
    <x:row r="6">
      <x:c r="A6" s="75" t="str">
        <x:v>Process redesign</x:v>
      </x:c>
      <x:c r="B6" s="40" t="n">
        <x:v>150000</x:v>
      </x:c>
      <x:c r="C6" s="40" t="n">
        <x:v>80000</x:v>
      </x:c>
      <x:c r="D6" s="40" t="n">
        <x:v>12</x:v>
      </x:c>
      <x:c r="E6" s="40" t="n">
        <x:v>8</x:v>
      </x:c>
      <x:c r="F6" s="40" t="n">
        <x:v>5</x:v>
      </x:c>
      <x:c r="G6" s="40" t="n">
        <x:v>5</x:v>
      </x:c>
      <x:c r="H6" s="76" t="n">
        <x:v>1</x:v>
      </x:c>
      <x:c r="I6" s="75" t="n">
        <x:f>B6+5*C6</x:f>
        <x:v>550000</x:v>
      </x:c>
      <x:c r="J6" s="40" t="n">
        <x:f>0.35*(D6/MAX($D$4:$D$7)*100)+0.35*(E6/MAX($E$4:$E$7)*100)+0.15*(G6/5*100)+0.15*((6-H6)/5*100)</x:f>
        <x:v>66.16666666666667</x:v>
      </x:c>
      <x:c r="K6" s="76" t="n">
        <x:f>J6-0.2*(I6/MAX($I$4:$I$7)*100)</x:f>
        <x:v>62.03132832080201</x:v>
      </x:c>
    </x:row>
    <x:row r="7">
      <x:c r="A7" s="77" t="str">
        <x:v>AI plus process redesign</x:v>
      </x:c>
      <x:c r="B7" s="78" t="n">
        <x:v>520000</x:v>
      </x:c>
      <x:c r="C7" s="78" t="n">
        <x:v>230000</x:v>
      </x:c>
      <x:c r="D7" s="78" t="n">
        <x:v>24</x:v>
      </x:c>
      <x:c r="E7" s="78" t="n">
        <x:v>15</x:v>
      </x:c>
      <x:c r="F7" s="78" t="n">
        <x:v>11</x:v>
      </x:c>
      <x:c r="G7" s="78" t="n">
        <x:v>2</x:v>
      </x:c>
      <x:c r="H7" s="79" t="n">
        <x:v>2</x:v>
      </x:c>
      <x:c r="I7" s="77" t="n">
        <x:f>B7+5*C7</x:f>
        <x:v>1670000</x:v>
      </x:c>
      <x:c r="J7" s="78" t="n">
        <x:f>0.35*(D7/MAX($D$4:$D$7)*100)+0.35*(E7/MAX($E$4:$E$7)*100)+0.15*(G7/5*100)+0.15*((6-H7)/5*100)</x:f>
        <x:v>88</x:v>
      </x:c>
      <x:c r="K7" s="79" t="n">
        <x:f>J7-0.2*(I7/MAX($I$4:$I$7)*100)</x:f>
        <x:v>75.44360902255639</x:v>
      </x:c>
    </x:row>
  </x:sheetData>
  <x:mergeCells>
    <x:mergeCell ref="A1:M1"/>
  </x:mergeCells>
  <x:pageMargins left="0.7" right="0.7" top="0.75" bottom="0.75" header="0.3" footer="0.3"/>
</x:worksheet>
</file>

<file path=xl/worksheets/sheet3.xml><?xml version="1.0" encoding="utf-8"?>
<x:worksheet xmlns:x="http://schemas.openxmlformats.org/spreadsheetml/2006/main">
  <x:sheetFormatPr defaultRowHeight="15"/>
  <x:cols>
    <x:col min="1" max="1" width="3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s>
  <x:sheetData>
    <x:row r="1">
      <x:c r="A1" s="102" t="str">
        <x:v>Blank template - replace synthetic values with governed local evidence</x:v>
      </x:c>
      <x:c r="B1" s="102"/>
      <x:c r="C1" s="102"/>
      <x:c r="D1" s="102"/>
      <x:c r="E1" s="102"/>
      <x:c r="F1" s="102"/>
      <x:c r="G1" s="102"/>
      <x:c r="H1" s="102"/>
    </x:row>
    <x:row r="3">
      <x:c r="A3" s="112" t="str">
        <x:v>Option</x:v>
      </x:c>
      <x:c r="B3" s="113" t="str">
        <x:v>Upfront cost</x:v>
      </x:c>
      <x:c r="C3" s="113" t="str">
        <x:v>Annual cost</x:v>
      </x:c>
      <x:c r="D3" s="113" t="str">
        <x:v>Wait-time reduction (min)</x:v>
      </x:c>
      <x:c r="E3" s="113" t="str">
        <x:v>Adverse events avoided/year</x:v>
      </x:c>
      <x:c r="F3" s="113" t="str">
        <x:v>Implementation months</x:v>
      </x:c>
      <x:c r="G3" s="113" t="str">
        <x:v>Reversibility (1-5)</x:v>
      </x:c>
      <x:c r="H3" s="114" t="str">
        <x:v>Equity risk (1-5)</x:v>
      </x:c>
    </x:row>
    <x:row r="4">
      <x:c r="A4" s="72" t="str">
        <x:v>AI triage</x:v>
      </x:c>
      <x:c r="B4" s="73" t="str"/>
      <x:c r="C4" s="73" t="str"/>
      <x:c r="D4" s="73" t="str"/>
      <x:c r="E4" s="73" t="str"/>
      <x:c r="F4" s="73" t="str"/>
      <x:c r="G4" s="73" t="str"/>
      <x:c r="H4" s="74" t="str"/>
    </x:row>
    <x:row r="5">
      <x:c r="A5" s="75" t="str">
        <x:v>Additional triage nurses</x:v>
      </x:c>
      <x:c r="B5" s="40" t="str"/>
      <x:c r="C5" s="40" t="str"/>
      <x:c r="D5" s="40" t="str"/>
      <x:c r="E5" s="40" t="str"/>
      <x:c r="F5" s="40" t="str"/>
      <x:c r="G5" s="40" t="str"/>
      <x:c r="H5" s="76" t="str"/>
    </x:row>
    <x:row r="6">
      <x:c r="A6" s="75" t="str">
        <x:v>Process redesign</x:v>
      </x:c>
      <x:c r="B6" s="40" t="str"/>
      <x:c r="C6" s="40" t="str"/>
      <x:c r="D6" s="40" t="str"/>
      <x:c r="E6" s="40" t="str"/>
      <x:c r="F6" s="40" t="str"/>
      <x:c r="G6" s="40" t="str"/>
      <x:c r="H6" s="76" t="str"/>
    </x:row>
    <x:row r="7">
      <x:c r="A7" s="77" t="str">
        <x:v>AI plus process redesign</x:v>
      </x:c>
      <x:c r="B7" s="78" t="str"/>
      <x:c r="C7" s="78" t="str"/>
      <x:c r="D7" s="78" t="str"/>
      <x:c r="E7" s="78" t="str"/>
      <x:c r="F7" s="78" t="str"/>
      <x:c r="G7" s="78" t="str"/>
      <x:c r="H7" s="79" t="str"/>
    </x:row>
  </x:sheetData>
  <x:mergeCells>
    <x:mergeCell ref="A1:H1"/>
  </x:mergeCells>
  <x:pageMargins left="0.7" right="0.7" top="0.75" bottom="0.75" header="0.3" footer="0.3"/>
</x:worksheet>
</file>

<file path=xl/worksheets/sheet4.xml><?xml version="1.0" encoding="utf-8"?>
<x:worksheet xmlns:x="http://schemas.openxmlformats.org/spreadsheetml/2006/main">
  <x:sheetFormatPr defaultRowHeight="15"/>
  <x:cols>
    <x:col min="1" max="1" width="32" hidden="0" customWidth="1"/>
    <x:col min="2" max="2" width="38" hidden="0" customWidth="1"/>
    <x:col min="3" max="3" width="18" hidden="0" customWidth="1"/>
    <x:col min="4" max="4" width="18" hidden="0" customWidth="1"/>
    <x:col min="5" max="5" width="18" hidden="0" customWidth="1"/>
    <x:col min="6" max="6" width="18" hidden="0" customWidth="1"/>
  </x:cols>
  <x:sheetData>
    <x:row r="1">
      <x:c r="A1" s="102" t="str">
        <x:v>Emergency-Department Triage Portfolio Decision</x:v>
      </x:c>
      <x:c r="B1" s="102"/>
      <x:c r="C1" s="102"/>
      <x:c r="D1" s="102"/>
      <x:c r="E1" s="102"/>
      <x:c r="F1" s="102"/>
    </x:row>
    <x:row r="2">
      <x:c r="A2" s="102"/>
      <x:c r="B2" s="102"/>
      <x:c r="C2" s="102"/>
      <x:c r="D2" s="102"/>
      <x:c r="E2" s="102"/>
      <x:c r="F2" s="102"/>
    </x:row>
    <x:row r="4">
      <x:c r="A4" s="112" t="str">
        <x:v>Reference metric</x:v>
      </x:c>
      <x:c r="B4" s="114" t="str">
        <x:v>Synthetic result</x:v>
      </x:c>
    </x:row>
    <x:row r="5">
      <x:c r="A5" s="72" t="str">
        <x:v>Highest illustrative decision score</x:v>
      </x:c>
      <x:c r="B5" s="74" t="str">
        <x:v>AI plus process redesign</x:v>
      </x:c>
    </x:row>
    <x:row r="6">
      <x:c r="A6" s="77" t="str">
        <x:v>Recommended starting commitment</x:v>
      </x:c>
      <x:c r="B6" s="79" t="str">
        <x:v>Process redesign plus silent-mode AI validation</x:v>
      </x:c>
    </x:row>
    <x:row r="8">
      <x:c r="A8" s="115" t="str">
        <x:v>Worked interpretation</x:v>
      </x:c>
      <x:c r="B8" s="115"/>
      <x:c r="C8" s="115"/>
      <x:c r="D8" s="115"/>
      <x:c r="E8" s="115"/>
      <x:c r="F8" s="115"/>
    </x:row>
    <x:row r="9">
      <x:c r="A9" s="116" t="str">
        <x:v>Process redesign has the lowest five-year cost and strongest reversibility, while the combined option offers the greatest expected benefit but the highest implementation burden. The recommended sequence is to implement reversible process changes while conducting silent-mode local validation of the AI system. A combined pilot should proceed only after local calibration, response-capacity, audit, update, and exit conditions are satisfied.</x:v>
      </x:c>
      <x:c r="B9" s="116"/>
      <x:c r="C9" s="116"/>
      <x:c r="D9" s="116"/>
      <x:c r="E9" s="116"/>
      <x:c r="F9" s="116"/>
    </x:row>
    <x:row r="10">
      <x:c r="A10" s="116"/>
      <x:c r="B10" s="116"/>
      <x:c r="C10" s="116"/>
      <x:c r="D10" s="116"/>
      <x:c r="E10" s="116"/>
      <x:c r="F10" s="116"/>
    </x:row>
    <x:row r="11">
      <x:c r="A11" s="116"/>
      <x:c r="B11" s="116"/>
      <x:c r="C11" s="116"/>
      <x:c r="D11" s="116"/>
      <x:c r="E11" s="116"/>
      <x:c r="F11" s="116"/>
    </x:row>
    <x:row r="12">
      <x:c r="A12" s="116"/>
      <x:c r="B12" s="116"/>
      <x:c r="C12" s="116"/>
      <x:c r="D12" s="116"/>
      <x:c r="E12" s="116"/>
      <x:c r="F12" s="116"/>
    </x:row>
    <x:row r="13">
      <x:c r="A13" s="116"/>
      <x:c r="B13" s="116"/>
      <x:c r="C13" s="116"/>
      <x:c r="D13" s="116"/>
      <x:c r="E13" s="116"/>
      <x:c r="F13" s="116"/>
    </x:row>
    <x:row r="15">
      <x:c r="A15" s="117" t="str">
        <x:v>Interpret calculations with evidence quality, uncertainty, mandatory safeguards, implementation capacity, monitoring, and exit conditions.</x:v>
      </x:c>
      <x:c r="B15" s="117"/>
      <x:c r="C15" s="117"/>
      <x:c r="D15" s="117"/>
      <x:c r="E15" s="117"/>
      <x:c r="F15" s="117"/>
    </x:row>
  </x:sheetData>
  <x:mergeCells>
    <x:mergeCell ref="A1:F2"/>
    <x:mergeCell ref="A8:F8"/>
    <x:mergeCell ref="A9:F13"/>
    <x:mergeCell ref="A15:F15"/>
  </x:mergeCells>
  <x:pageMargins left="0.7" right="0.7" top="0.75" bottom="0.75" header="0.3" footer="0.3"/>
</x:worksheet>
</file>

<file path=docProps/app.xml><?xml version="1.0" encoding="utf-8"?>
<Properties xmlns="http://schemas.openxmlformats.org/officeDocument/2006/extended-properties">
  <Application/>
</Properties>
</file>

<file path=docProps/core.xml><?xml version="1.0" encoding="utf-8"?>
<cp:coreProperties xmlns:cp="http://schemas.openxmlformats.org/package/2006/metadata/core-properties" xmlns:dc="http://purl.org/dc/elements/1.1/" xmlns:dcterms="http://purl.org/dc/terms/" xmlns:xsi="http://www.w3.org/2001/XMLSchema-instance">
  <dc:title>Digital Resource Companion</dc:title>
  <dc:subject>Healthcare management, economics, evidence, and lifecycle governance</dc:subject>
  <dc:creator>Muthana Zouri; Carmen Marinela Cumpăt</dc:creator>
  <cp:lastModifiedBy/>
  <cp:revision>1</cp:revision>
</cp:coreProperties>
</file>