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3ca703227834a76" /></Relationships>
</file>

<file path=xl/workbook.xml><?xml version="1.0" encoding="utf-8"?>
<x:workbook xmlns:x="http://schemas.openxmlformats.org/spreadsheetml/2006/main">
  <x:sheets>
    <x:sheet xmlns:r="http://schemas.openxmlformats.org/officeDocument/2006/relationships" name="Guide" sheetId="1" r:id="R2f175ec202334f4f"/>
    <x:sheet xmlns:r="http://schemas.openxmlformats.org/officeDocument/2006/relationships" name="Worked Inputs" sheetId="2" r:id="R36392f7b731a4856"/>
    <x:sheet xmlns:r="http://schemas.openxmlformats.org/officeDocument/2006/relationships" name="Blank Template" sheetId="3" r:id="Ra765a694b1cf4c7a"/>
    <x:sheet xmlns:r="http://schemas.openxmlformats.org/officeDocument/2006/relationships" name="Decision Summary" sheetId="4" r:id="R7826478b72ba4b00"/>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5"/>
      <x:color rgb="FFFFFFFF"/>
      <x:name val="Carlito"/>
    </x:font>
    <x:font>
      <x:b/>
      <x:sz val="11"/>
      <x:color rgb="FF23313D"/>
      <x:name val="Carlito"/>
    </x:font>
    <x:font>
      <x:b/>
      <x:sz val="11"/>
      <x:color rgb="FFFFFFFF"/>
      <x:name val="Carlito"/>
    </x:font>
    <x:font>
      <x:i/>
      <x:sz val="11"/>
      <x:name val="Carlito"/>
    </x:font>
  </x:fonts>
  <x:fills count="7">
    <x:fill>
      <x:patternFill patternType="none"/>
    </x:fill>
    <x:fill>
      <x:patternFill patternType="gray125"/>
    </x:fill>
    <x:fill>
      <x:patternFill patternType="solid">
        <x:fgColor rgb="FF7A1731"/>
      </x:patternFill>
    </x:fill>
    <x:fill>
      <x:patternFill patternType="solid">
        <x:fgColor rgb="FFE8DDD5"/>
      </x:patternFill>
    </x:fill>
    <x:fill>
      <x:patternFill patternType="solid">
        <x:fgColor rgb="FFB38A52"/>
      </x:patternFill>
    </x:fill>
    <x:fill>
      <x:patternFill patternType="solid">
        <x:fgColor rgb="FFF7F3EF"/>
      </x:patternFill>
    </x:fill>
    <x:fill>
      <x:patternFill patternType="solid">
        <x:fgColor rgb="FFFFF3CD"/>
      </x:patternFill>
    </x:fill>
  </x:fills>
  <x:borders count="38">
    <x:border/>
    <x:border/>
    <x:border>
      <x:left style="thin">
        <x:color rgb="FFB7A89F"/>
      </x:left>
      <x:right style="thin">
        <x:color rgb="FFB7A89F"/>
      </x:right>
      <x:top style="thin">
        <x:color rgb="FFB7A89F"/>
      </x:top>
    </x:border>
    <x:border>
      <x:left style="thin">
        <x:color rgb="FFB7A89F"/>
      </x:left>
      <x:right style="thin">
        <x:color rgb="FFB7A89F"/>
      </x:right>
    </x:border>
    <x:border>
      <x:left style="thin">
        <x:color rgb="FFB7A89F"/>
      </x:left>
      <x:right style="thin">
        <x:color rgb="FFB7A89F"/>
      </x:right>
      <x:bottom style="thin">
        <x:color rgb="FFB7A89F"/>
      </x:bottom>
    </x:border>
    <x:border>
      <x:left style="thin">
        <x:color rgb="FFB7A89F"/>
      </x:left>
      <x:right style="thin">
        <x:color rgb="FFB7A89F"/>
      </x:right>
      <x:top style="thin">
        <x:color rgb="FFB7A89F"/>
      </x:top>
    </x:border>
    <x:border>
      <x:left style="thin">
        <x:color rgb="FFB7A89F"/>
      </x:left>
      <x:right style="thin">
        <x:color rgb="FFB7A89F"/>
      </x:right>
    </x:border>
    <x:border>
      <x:left style="thin">
        <x:color rgb="FFB7A89F"/>
      </x:left>
      <x:right style="thin">
        <x:color rgb="FFB7A89F"/>
      </x:right>
      <x:bottom style="thin">
        <x:color rgb="FFB7A89F"/>
      </x:bottom>
    </x:border>
    <x:border>
      <x:left style="thin">
        <x:color rgb="FFDED6D0"/>
      </x:left>
      <x:right style="thin">
        <x:color rgb="FFDED6D0"/>
      </x:right>
      <x:top style="thin">
        <x:color rgb="FFDED6D0"/>
      </x:top>
    </x:border>
    <x:border>
      <x:left style="thin">
        <x:color rgb="FFDED6D0"/>
      </x:left>
      <x:right style="thin">
        <x:color rgb="FFDED6D0"/>
      </x:right>
    </x:border>
    <x:border>
      <x:left style="thin">
        <x:color rgb="FFDED6D0"/>
      </x:left>
      <x:right style="thin">
        <x:color rgb="FFDED6D0"/>
      </x:right>
      <x:bottom style="thin">
        <x:color rgb="FFDED6D0"/>
      </x:bottom>
    </x:border>
    <x:border>
      <x:left style="thin">
        <x:color rgb="FFDED6D0"/>
      </x:left>
      <x:right style="thin">
        <x:color rgb="FFDED6D0"/>
      </x:right>
      <x:top style="thin">
        <x:color rgb="FFDED6D0"/>
      </x:top>
    </x:border>
    <x:border>
      <x:left style="thin">
        <x:color rgb="FFDED6D0"/>
      </x:left>
      <x:right style="thin">
        <x:color rgb="FFDED6D0"/>
      </x:right>
    </x:border>
    <x:border>
      <x:left style="thin">
        <x:color rgb="FFDED6D0"/>
      </x:left>
      <x:right style="thin">
        <x:color rgb="FFDED6D0"/>
      </x:right>
      <x:bottom style="thin">
        <x:color rgb="FFDED6D0"/>
      </x:bottom>
    </x:border>
    <x:border>
      <x:left style="thin">
        <x:color rgb="FFB7A89F"/>
      </x:left>
      <x:top style="thin">
        <x:color rgb="FFB7A89F"/>
      </x:top>
      <x:bottom style="thin">
        <x:color rgb="FFB7A89F"/>
      </x:bottom>
    </x:border>
    <x:border>
      <x:top style="thin">
        <x:color rgb="FFB7A89F"/>
      </x:top>
      <x:bottom style="thin">
        <x:color rgb="FFB7A89F"/>
      </x:bottom>
    </x:border>
    <x:border>
      <x:right style="thin">
        <x:color rgb="FFB7A89F"/>
      </x:right>
      <x:top style="thin">
        <x:color rgb="FFB7A89F"/>
      </x:top>
      <x:bottom style="thin">
        <x:color rgb="FFB7A89F"/>
      </x:bottom>
    </x:border>
    <x:border>
      <x:left style="thin">
        <x:color rgb="FFB7A89F"/>
      </x:left>
      <x:top style="thin">
        <x:color rgb="FFB7A89F"/>
      </x:top>
      <x:bottom style="thin">
        <x:color rgb="FFB7A89F"/>
      </x:bottom>
    </x:border>
    <x:border>
      <x:top style="thin">
        <x:color rgb="FFB7A89F"/>
      </x:top>
      <x:bottom style="thin">
        <x:color rgb="FFB7A89F"/>
      </x:bottom>
    </x:border>
    <x:border>
      <x:right style="thin">
        <x:color rgb="FFB7A89F"/>
      </x:right>
      <x:top style="thin">
        <x:color rgb="FFB7A89F"/>
      </x:top>
      <x:bottom style="thin">
        <x:color rgb="FFB7A89F"/>
      </x:bottom>
    </x:border>
    <x:border>
      <x:left style="thin">
        <x:color rgb="FFDED6D0"/>
      </x:left>
      <x:top style="thin">
        <x:color rgb="FFDED6D0"/>
      </x:top>
    </x:border>
    <x:border>
      <x:top style="thin">
        <x:color rgb="FFDED6D0"/>
      </x:top>
    </x:border>
    <x:border>
      <x:right style="thin">
        <x:color rgb="FFDED6D0"/>
      </x:right>
      <x:top style="thin">
        <x:color rgb="FFDED6D0"/>
      </x:top>
    </x:border>
    <x:border>
      <x:left style="thin">
        <x:color rgb="FFDED6D0"/>
      </x:left>
    </x:border>
    <x:border>
      <x:right style="thin">
        <x:color rgb="FFDED6D0"/>
      </x:right>
    </x:border>
    <x:border>
      <x:left style="thin">
        <x:color rgb="FFDED6D0"/>
      </x:left>
      <x:bottom style="thin">
        <x:color rgb="FFDED6D0"/>
      </x:bottom>
    </x:border>
    <x:border>
      <x:bottom style="thin">
        <x:color rgb="FFDED6D0"/>
      </x:bottom>
    </x:border>
    <x:border>
      <x:right style="thin">
        <x:color rgb="FFDED6D0"/>
      </x:right>
      <x:bottom style="thin">
        <x:color rgb="FFDED6D0"/>
      </x:bottom>
    </x:border>
    <x:border>
      <x:left style="thin">
        <x:color rgb="FFDED6D0"/>
      </x:left>
      <x:top style="thin">
        <x:color rgb="FFDED6D0"/>
      </x:top>
    </x:border>
    <x:border>
      <x:top style="thin">
        <x:color rgb="FFDED6D0"/>
      </x:top>
    </x:border>
    <x:border>
      <x:right style="thin">
        <x:color rgb="FFDED6D0"/>
      </x:right>
      <x:top style="thin">
        <x:color rgb="FFDED6D0"/>
      </x:top>
    </x:border>
    <x:border>
      <x:left style="thin">
        <x:color rgb="FFDED6D0"/>
      </x:left>
    </x:border>
    <x:border>
      <x:right style="thin">
        <x:color rgb="FFDED6D0"/>
      </x:right>
    </x:border>
    <x:border>
      <x:left style="thin">
        <x:color rgb="FFDED6D0"/>
      </x:left>
      <x:bottom style="thin">
        <x:color rgb="FFDED6D0"/>
      </x:bottom>
    </x:border>
    <x:border>
      <x:bottom style="thin">
        <x:color rgb="FFDED6D0"/>
      </x:bottom>
    </x:border>
    <x:border>
      <x:right style="thin">
        <x:color rgb="FFDED6D0"/>
      </x:right>
      <x:bottom style="thin">
        <x:color rgb="FFDED6D0"/>
      </x:bottom>
    </x:border>
    <x:border>
      <x:left style="thin">
        <x:color rgb="FFB7A89F"/>
      </x:left>
      <x:right style="thin">
        <x:color rgb="FFB7A89F"/>
      </x:right>
      <x:top style="thin">
        <x:color rgb="FFB7A89F"/>
      </x:top>
      <x:bottom style="thin">
        <x:color rgb="FFB7A89F"/>
      </x:bottom>
    </x:border>
    <x:border>
      <x:left style="thin">
        <x:color rgb="FFB7A89F"/>
      </x:left>
      <x:right style="thin">
        <x:color rgb="FFB7A89F"/>
      </x:right>
      <x:top style="thin">
        <x:color rgb="FFB7A89F"/>
      </x:top>
      <x:bottom style="thin">
        <x:color rgb="FFB7A89F"/>
      </x:bottom>
    </x:border>
  </x:borders>
  <x:cellStyleXfs count="1">
    <x:xf numFmtId="0" fontId="0" fillId="0" borderId="0"/>
  </x:cellStyleXfs>
  <x:cellXfs count="10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re"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vertical="centre" wrapText="1"/>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2" xfId="0" applyNumberFormat="1" applyFont="1" applyFill="1" applyBorder="1" applyAlignment="1">
      <x:alignment horizontal="centre" wrapText="1"/>
    </x:xf>
    <x:xf numFmtId="0" fontId="2" fillId="3" borderId="3" xfId="0" applyNumberFormat="1" applyFont="1" applyFill="1" applyBorder="1" applyAlignment="1">
      <x:alignment horizontal="centre" wrapText="1"/>
    </x:xf>
    <x:xf numFmtId="0" fontId="2" fillId="3" borderId="4" xfId="0" applyNumberFormat="1" applyFont="1" applyFill="1" applyBorder="1" applyAlignment="1">
      <x:alignment horizontal="centre" wrapText="1"/>
    </x:xf>
    <x:xf numFmtId="0" fontId="2" fillId="3" borderId="2" xfId="0" applyNumberFormat="1" applyFont="1" applyFill="1" applyBorder="1" applyAlignment="1">
      <x:alignment horizontal="centre" vertical="centre" wrapText="1"/>
    </x:xf>
    <x:xf numFmtId="0" fontId="2" fillId="3" borderId="3" xfId="0" applyNumberFormat="1" applyFont="1" applyFill="1" applyBorder="1" applyAlignment="1">
      <x:alignment horizontal="centre" vertical="centre" wrapText="1"/>
    </x:xf>
    <x:xf numFmtId="0" fontId="2" fillId="3" borderId="4" xfId="0" applyNumberFormat="1" applyFont="1" applyFill="1" applyBorder="1" applyAlignment="1">
      <x:alignment horizontal="centre" vertical="centre" wrapText="1"/>
    </x:xf>
    <x:xf numFmtId="0" fontId="0" fillId="3" borderId="1" xfId="0" applyNumberFormat="1" applyFont="1" applyFill="1" applyBorder="1"/>
    <x:xf numFmtId="0" fontId="2" fillId="3" borderId="1"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5" xfId="0" applyNumberFormat="1" applyFont="1" applyFill="1" applyBorder="1" applyAlignment="1">
      <x:alignment horizontal="centre" wrapText="1"/>
    </x:xf>
    <x:xf numFmtId="0" fontId="2" fillId="3" borderId="6" xfId="0" applyNumberFormat="1" applyFont="1" applyFill="1" applyBorder="1" applyAlignment="1">
      <x:alignment horizontal="centre" wrapText="1"/>
    </x:xf>
    <x:xf numFmtId="0" fontId="2" fillId="3" borderId="7" xfId="0" applyNumberFormat="1" applyFont="1" applyFill="1" applyBorder="1" applyAlignment="1">
      <x:alignment horizontal="centre" wrapText="1"/>
    </x:xf>
    <x:xf numFmtId="0" fontId="2" fillId="3" borderId="5" xfId="0" applyNumberFormat="1" applyFont="1" applyFill="1" applyBorder="1" applyAlignment="1">
      <x:alignment horizontal="centre" vertical="centre" wrapText="1"/>
    </x:xf>
    <x:xf numFmtId="0" fontId="2" fillId="3" borderId="6" xfId="0" applyNumberFormat="1" applyFont="1" applyFill="1" applyBorder="1" applyAlignment="1">
      <x:alignment horizontal="centre" vertical="centre" wrapText="1"/>
    </x:xf>
    <x:xf numFmtId="0" fontId="2" fillId="3" borderId="7" xfId="0" applyNumberFormat="1" applyFont="1" applyFill="1" applyBorder="1" applyAlignment="1">
      <x:alignment horizontal="centre" vertical="centre"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2" fillId="3" borderId="14" xfId="0" applyNumberFormat="1" applyFont="1" applyFill="1" applyBorder="1"/>
    <x:xf numFmtId="0" fontId="2" fillId="3" borderId="15" xfId="0" applyNumberFormat="1" applyFont="1" applyFill="1" applyBorder="1"/>
    <x:xf numFmtId="0" fontId="2" fillId="3" borderId="16" xfId="0" applyNumberFormat="1" applyFont="1" applyFill="1" applyBorder="1"/>
    <x:xf numFmtId="0" fontId="2" fillId="3" borderId="14" xfId="0" applyNumberFormat="1" applyFont="1" applyFill="1" applyBorder="1" applyAlignment="1">
      <x:alignment wrapText="1"/>
    </x:xf>
    <x:xf numFmtId="0" fontId="2" fillId="3" borderId="15" xfId="0" applyNumberFormat="1" applyFont="1" applyFill="1" applyBorder="1" applyAlignment="1">
      <x:alignment wrapText="1"/>
    </x:xf>
    <x:xf numFmtId="0" fontId="2" fillId="3" borderId="16" xfId="0" applyNumberFormat="1" applyFont="1" applyFill="1" applyBorder="1" applyAlignment="1">
      <x:alignment wrapText="1"/>
    </x:xf>
    <x:xf numFmtId="0" fontId="2" fillId="3" borderId="14" xfId="0" applyNumberFormat="1" applyFont="1" applyFill="1" applyBorder="1" applyAlignment="1">
      <x:alignment horizontal="centre" wrapText="1"/>
    </x:xf>
    <x:xf numFmtId="0" fontId="2" fillId="3" borderId="15" xfId="0" applyNumberFormat="1" applyFont="1" applyFill="1" applyBorder="1" applyAlignment="1">
      <x:alignment horizontal="centre" wrapText="1"/>
    </x:xf>
    <x:xf numFmtId="0" fontId="2" fillId="3" borderId="16" xfId="0" applyNumberFormat="1" applyFont="1" applyFill="1" applyBorder="1" applyAlignment="1">
      <x:alignment horizontal="centre" wrapText="1"/>
    </x:xf>
    <x:xf numFmtId="0" fontId="2" fillId="3" borderId="14" xfId="0" applyNumberFormat="1" applyFont="1" applyFill="1" applyBorder="1" applyAlignment="1">
      <x:alignment horizontal="centre" vertical="centre" wrapText="1"/>
    </x:xf>
    <x:xf numFmtId="0" fontId="2" fillId="3" borderId="15" xfId="0" applyNumberFormat="1" applyFont="1" applyFill="1" applyBorder="1" applyAlignment="1">
      <x:alignment horizontal="centre" vertical="centre" wrapText="1"/>
    </x:xf>
    <x:xf numFmtId="0" fontId="2" fillId="3" borderId="16" xfId="0" applyNumberFormat="1" applyFont="1" applyFill="1" applyBorder="1" applyAlignment="1">
      <x:alignment horizontal="centre" vertical="centre" wrapText="1"/>
    </x:xf>
    <x:xf numFmtId="0" fontId="2" fillId="3" borderId="17" xfId="0" applyNumberFormat="1" applyFont="1" applyFill="1" applyBorder="1"/>
    <x:xf numFmtId="0" fontId="2" fillId="3" borderId="18" xfId="0" applyNumberFormat="1" applyFont="1" applyFill="1" applyBorder="1"/>
    <x:xf numFmtId="0" fontId="2" fillId="3" borderId="19" xfId="0" applyNumberFormat="1" applyFont="1" applyFill="1" applyBorder="1"/>
    <x:xf numFmtId="0" fontId="2" fillId="3" borderId="17" xfId="0" applyNumberFormat="1" applyFont="1" applyFill="1" applyBorder="1" applyAlignment="1">
      <x:alignment wrapText="1"/>
    </x:xf>
    <x:xf numFmtId="0" fontId="2" fillId="3" borderId="18"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7" xfId="0" applyNumberFormat="1" applyFont="1" applyFill="1" applyBorder="1" applyAlignment="1">
      <x:alignment horizontal="centre" wrapText="1"/>
    </x:xf>
    <x:xf numFmtId="0" fontId="2" fillId="3" borderId="18" xfId="0" applyNumberFormat="1" applyFont="1" applyFill="1" applyBorder="1" applyAlignment="1">
      <x:alignment horizontal="centre" wrapText="1"/>
    </x:xf>
    <x:xf numFmtId="0" fontId="2" fillId="3" borderId="19" xfId="0" applyNumberFormat="1" applyFont="1" applyFill="1" applyBorder="1" applyAlignment="1">
      <x:alignment horizontal="centre" wrapText="1"/>
    </x:xf>
    <x:xf numFmtId="0" fontId="2" fillId="3" borderId="17" xfId="0" applyNumberFormat="1" applyFont="1" applyFill="1" applyBorder="1" applyAlignment="1">
      <x:alignment horizontal="centre" vertical="centre" wrapText="1"/>
    </x:xf>
    <x:xf numFmtId="0" fontId="2" fillId="3" borderId="18" xfId="0" applyNumberFormat="1" applyFont="1" applyFill="1" applyBorder="1" applyAlignment="1">
      <x:alignment horizontal="centre" vertical="centre" wrapText="1"/>
    </x:xf>
    <x:xf numFmtId="0" fontId="2" fillId="3" borderId="19" xfId="0" applyNumberFormat="1" applyFont="1" applyFill="1" applyBorder="1" applyAlignment="1">
      <x:alignment horizontal="centre" vertical="centre"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0" borderId="24" xfId="0" applyNumberFormat="1" applyFont="1" applyFill="1" applyBorder="1" applyAlignment="1">
      <x:alignment vertical="top" wrapText="1"/>
    </x:xf>
    <x:xf numFmtId="0" fontId="0" fillId="0" borderId="25" xfId="0" applyNumberFormat="1" applyFont="1" applyFill="1" applyBorder="1" applyAlignment="1">
      <x:alignment vertical="top" wrapText="1"/>
    </x:xf>
    <x:xf numFmtId="0" fontId="0" fillId="0" borderId="26" xfId="0" applyNumberFormat="1" applyFont="1" applyFill="1" applyBorder="1" applyAlignment="1">
      <x:alignment vertical="top" wrapText="1"/>
    </x:xf>
    <x:xf numFmtId="0" fontId="0" fillId="0" borderId="27" xfId="0" applyNumberFormat="1" applyFont="1" applyFill="1" applyBorder="1" applyAlignment="1">
      <x:alignment vertical="top" wrapText="1"/>
    </x:xf>
    <x:xf numFmtId="0" fontId="0" fillId="0" borderId="28" xfId="0" applyNumberFormat="1" applyFont="1" applyFill="1" applyBorder="1" applyAlignment="1">
      <x:alignment vertical="top" wrapText="1"/>
    </x:xf>
    <x:xf numFmtId="0" fontId="0" fillId="0" borderId="29" xfId="0" applyNumberFormat="1" applyFont="1" applyFill="1" applyBorder="1" applyAlignment="1">
      <x:alignment vertical="top" wrapText="1"/>
    </x:xf>
    <x:xf numFmtId="0" fontId="0" fillId="0" borderId="30" xfId="0" applyNumberFormat="1" applyFont="1" applyFill="1" applyBorder="1" applyAlignment="1">
      <x:alignment vertical="top" wrapText="1"/>
    </x:xf>
    <x:xf numFmtId="0" fontId="0" fillId="0" borderId="31" xfId="0" applyNumberFormat="1" applyFont="1" applyFill="1" applyBorder="1" applyAlignment="1">
      <x:alignment vertical="top" wrapText="1"/>
    </x:xf>
    <x:xf numFmtId="0" fontId="0" fillId="0" borderId="32" xfId="0" applyNumberFormat="1" applyFont="1" applyFill="1" applyBorder="1" applyAlignment="1">
      <x:alignment vertical="top" wrapText="1"/>
    </x:xf>
    <x:xf numFmtId="0" fontId="0" fillId="0" borderId="33" xfId="0" applyNumberFormat="1" applyFont="1" applyFill="1" applyBorder="1" applyAlignment="1">
      <x:alignment vertical="top" wrapText="1"/>
    </x:xf>
    <x:xf numFmtId="0" fontId="0" fillId="0" borderId="34" xfId="0" applyNumberFormat="1" applyFont="1" applyFill="1" applyBorder="1" applyAlignment="1">
      <x:alignment vertical="top" wrapText="1"/>
    </x:xf>
    <x:xf numFmtId="0" fontId="0" fillId="0" borderId="35" xfId="0" applyNumberFormat="1" applyFont="1" applyFill="1" applyBorder="1" applyAlignment="1">
      <x:alignment vertical="top" wrapText="1"/>
    </x:xf>
    <x:xf numFmtId="0" fontId="2" fillId="3" borderId="36" xfId="0" applyNumberFormat="1" applyFont="1" applyFill="1" applyBorder="1"/>
    <x:xf numFmtId="0" fontId="2" fillId="3" borderId="36" xfId="0" applyNumberFormat="1" applyFont="1" applyFill="1" applyBorder="1" applyAlignment="1">
      <x:alignment wrapText="1"/>
    </x:xf>
    <x:xf numFmtId="0" fontId="2" fillId="3" borderId="36" xfId="0" applyNumberFormat="1" applyFont="1" applyFill="1" applyBorder="1" applyAlignment="1">
      <x:alignment horizontal="centre" wrapText="1"/>
    </x:xf>
    <x:xf numFmtId="0" fontId="2" fillId="3" borderId="36" xfId="0" applyNumberFormat="1" applyFont="1" applyFill="1" applyBorder="1" applyAlignment="1">
      <x:alignment horizontal="centre" vertical="centre" wrapText="1"/>
    </x:xf>
    <x:xf numFmtId="0" fontId="2" fillId="3" borderId="37" xfId="0" applyNumberFormat="1" applyFont="1" applyFill="1" applyBorder="1"/>
    <x:xf numFmtId="0" fontId="2" fillId="3" borderId="37" xfId="0" applyNumberFormat="1" applyFont="1" applyFill="1" applyBorder="1" applyAlignment="1">
      <x:alignment wrapText="1"/>
    </x:xf>
    <x:xf numFmtId="0" fontId="2" fillId="3" borderId="37" xfId="0" applyNumberFormat="1" applyFont="1" applyFill="1" applyBorder="1" applyAlignment="1">
      <x:alignment horizontal="centre" wrapText="1"/>
    </x:xf>
    <x:xf numFmtId="0" fontId="2" fillId="3" borderId="37" xfId="0" applyNumberFormat="1" applyFont="1" applyFill="1" applyBorder="1" applyAlignment="1">
      <x:alignment horizontal="centre" vertical="centre" wrapText="1"/>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0" fillId="5" borderId="0" xfId="0" applyNumberFormat="1" applyFont="1" applyFill="1" applyBorder="1"/>
    <x:xf numFmtId="0" fontId="0" fillId="5" borderId="0" xfId="0" applyNumberFormat="1" applyFont="1" applyFill="1" applyBorder="1" applyAlignment="1">
      <x:alignment wrapText="1"/>
    </x:xf>
    <x:xf numFmtId="0" fontId="0" fillId="5" borderId="0" xfId="0" applyNumberFormat="1" applyFont="1" applyFill="1" applyBorder="1" applyAlignment="1">
      <x:alignment vertical="top" wrapText="1"/>
    </x:xf>
    <x:xf numFmtId="0" fontId="0" fillId="5" borderId="1" xfId="0" applyNumberFormat="1" applyFont="1" applyFill="1" applyBorder="1"/>
    <x:xf numFmtId="0" fontId="0" fillId="5" borderId="1" xfId="0" applyNumberFormat="1" applyFont="1" applyFill="1" applyBorder="1" applyAlignment="1">
      <x:alignment wrapText="1"/>
    </x:xf>
    <x:xf numFmtId="0" fontId="0" fillId="5" borderId="1" xfId="0" applyNumberFormat="1" applyFont="1" applyFill="1" applyBorder="1" applyAlignment="1">
      <x:alignment vertical="top" wrapText="1"/>
    </x:xf>
    <x:xf numFmtId="0" fontId="0" fillId="6"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601efe42ddf44f6" /><Relationship Type="http://schemas.openxmlformats.org/officeDocument/2006/relationships/theme" Target="/xl/theme/theme1.xml" Id="R69d8235f194d4fce" /><Relationship Type="http://schemas.openxmlformats.org/officeDocument/2006/relationships/sharedStrings" Target="/xl/sharedStrings.xml" Id="R7fe533afe74741f3" /><Relationship Type="http://schemas.openxmlformats.org/officeDocument/2006/relationships/worksheet" Target="/xl/worksheets/sheet1.xml" Id="R2f175ec202334f4f" /><Relationship Type="http://schemas.openxmlformats.org/officeDocument/2006/relationships/worksheet" Target="/xl/worksheets/sheet2.xml" Id="R36392f7b731a4856" /><Relationship Type="http://schemas.openxmlformats.org/officeDocument/2006/relationships/worksheet" Target="/xl/worksheets/sheet3.xml" Id="Ra765a694b1cf4c7a" /><Relationship Type="http://schemas.openxmlformats.org/officeDocument/2006/relationships/worksheet" Target="/xl/worksheets/sheet4.xml" Id="R7826478b72ba4b00" /></Relationships>
</file>

<file path=xl/theme/theme1.xml><?xml version="1.0" encoding="utf-8"?>
<a:theme xmlns:a="http://schemas.openxmlformats.org/drawingml/2006/main" name="AcademicResourceTheme">
  <a:themeElements>
    <a:clrScheme name="AcademicResourceThem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AcademicResourceThem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 hidden="0" customWidth="1"/>
    <x:col min="2" max="2" width="85" hidden="0" customWidth="1"/>
  </x:cols>
  <x:sheetData>
    <x:row r="1">
      <x:c r="A1" s="5" t="str">
        <x:v>AI Quality-Control, Accreditation, and Corrective Action</x:v>
      </x:c>
      <x:c r="B1" s="5"/>
      <x:c r="C1" s="5"/>
      <x:c r="D1" s="5"/>
      <x:c r="E1" s="5"/>
      <x:c r="F1" s="5"/>
    </x:row>
    <x:row r="2">
      <x:c r="A2" s="5"/>
      <x:c r="B2" s="5"/>
      <x:c r="C2" s="5"/>
      <x:c r="D2" s="5"/>
      <x:c r="E2" s="5"/>
      <x:c r="F2" s="5"/>
    </x:row>
    <x:row r="4">
      <x:c r="A4" s="21" t="str">
        <x:v>Example ID</x:v>
      </x:c>
      <x:c r="B4" s="42" t="str">
        <x:v>AIHE-CASE05</x:v>
      </x:c>
    </x:row>
    <x:row r="5">
      <x:c r="A5" s="22" t="str">
        <x:v>Chapter</x:v>
      </x:c>
      <x:c r="B5" s="43" t="str">
        <x:v>5: Quality Management, Accreditation, and Organizational Learning</x:v>
      </x:c>
    </x:row>
    <x:row r="6">
      <x:c r="A6" s="22" t="str">
        <x:v>Decision question</x:v>
      </x:c>
      <x:c r="B6" s="43" t="str">
        <x:v>When should a change in performance trigger investigation, restriction, and corrective action within the quality-management system?</x:v>
      </x:c>
    </x:row>
    <x:row r="7">
      <x:c r="A7" s="22" t="str">
        <x:v>Status</x:v>
      </x:c>
      <x:c r="B7" s="43" t="str">
        <x:v>Synthetic demonstration only</x:v>
      </x:c>
    </x:row>
    <x:row r="8">
      <x:c r="A8" s="22" t="str">
        <x:v>Version</x:v>
      </x:c>
      <x:c r="B8" s="43" t="str">
        <x:v>V1.0</x:v>
      </x:c>
    </x:row>
    <x:row r="9">
      <x:c r="A9" s="22" t="str">
        <x:v>Release date</x:v>
      </x:c>
      <x:c r="B9" s="43" t="str">
        <x:v>2026-08-06</x:v>
      </x:c>
    </x:row>
    <x:row r="10">
      <x:c r="A10" s="22" t="str">
        <x:v>How to use</x:v>
      </x:c>
      <x:c r="B10" s="43" t="str">
        <x:v>Review Worked Inputs and Calculations; compare with Decision Summary; use Blank Template for local adaptation.</x:v>
      </x:c>
    </x:row>
    <x:row r="11">
      <x:c r="A11" s="22" t="str">
        <x:v>Related resources</x:v>
      </x:c>
      <x:c r="B11" s="43" t="str">
        <x:v>AIHE-C01, AIHE-C02, AIHE-I, AIHE-S, AIHE-EX12</x:v>
      </x:c>
    </x:row>
    <x:row r="12">
      <x:c r="A12" s="23" t="str">
        <x:v>Data protection</x:v>
      </x:c>
      <x:c r="B12" s="44" t="str">
        <x:v>Do not enter identifiable patient information, credentials, private keys, or confidential contract information into uncontrolled copies.</x:v>
      </x:c>
    </x:row>
  </x:sheetData>
  <x:mergeCells>
    <x:mergeCell ref="A1:F2"/>
  </x:mergeCells>
  <x:pageMargins left="0.7" right="0.7" top="0.75" bottom="0.75" header="0.3" footer="0.3"/>
</x:worksheet>
</file>

<file path=xl/worksheets/sheet2.xml><?xml version="1.0" encoding="utf-8"?>
<x:worksheet xmlns:x="http://schemas.openxmlformats.org/spreadsheetml/2006/main">
  <x:sheetFormatPr defaultRowHeight="15"/>
  <x:cols>
    <x:col min="1" max="1" width="32" hidden="0" customWidth="1"/>
    <x:col min="2" max="2" width="20" hidden="0" customWidth="1"/>
    <x:col min="3" max="3" width="20" hidden="0" customWidth="1"/>
    <x:col min="4" max="4" width="20" hidden="0" customWidth="1"/>
    <x:col min="5" max="5" width="20" hidden="0" customWidth="1"/>
    <x:col min="6" max="6" width="18" hidden="0" customWidth="1"/>
    <x:col min="8" max="8" width="24" hidden="0" customWidth="1"/>
    <x:col min="9" max="9" width="42" hidden="0" customWidth="1"/>
  </x:cols>
  <x:sheetData>
    <x:row r="1">
      <x:c r="A1" s="5" t="str">
        <x:v>Worked synthetic inputs and calculations</x:v>
      </x:c>
      <x:c r="B1" s="5"/>
      <x:c r="C1" s="5"/>
      <x:c r="D1" s="5"/>
      <x:c r="E1" s="5"/>
      <x:c r="F1" s="5"/>
      <x:c r="G1" s="5"/>
      <x:c r="H1" s="5"/>
      <x:c r="I1" s="5"/>
      <x:c r="J1" s="5"/>
    </x:row>
    <x:row r="3">
      <x:c r="A3" s="57" t="str">
        <x:v>Month</x:v>
      </x:c>
      <x:c r="B3" s="58" t="str">
        <x:v>False-negative rate</x:v>
      </x:c>
      <x:c r="C3" s="58" t="str">
        <x:v>Alerts/day</x:v>
      </x:c>
      <x:c r="D3" s="58" t="str">
        <x:v>Downtime hours</x:v>
      </x:c>
      <x:c r="E3" s="59" t="str">
        <x:v>Complaints</x:v>
      </x:c>
      <x:c r="F3" s="91" t="str">
        <x:v>Signal</x:v>
      </x:c>
      <x:c r="H3" s="57" t="str">
        <x:v>Control</x:v>
      </x:c>
      <x:c r="I3" s="59" t="str">
        <x:v>Value</x:v>
      </x:c>
    </x:row>
    <x:row r="4">
      <x:c r="A4" s="72" t="n">
        <x:v>1</x:v>
      </x:c>
      <x:c r="B4" s="73" t="n">
        <x:v>0.09</x:v>
      </x:c>
      <x:c r="C4" s="73" t="n">
        <x:v>42</x:v>
      </x:c>
      <x:c r="D4" s="73" t="n">
        <x:v>0.5</x:v>
      </x:c>
      <x:c r="E4" s="74" t="n">
        <x:v>0</x:v>
      </x:c>
      <x:c r="F4" s="42" t="str">
        <x:f>IF(OR(B4&gt;$I$4,D4&gt;4,E4&gt;=3),"INVESTIGATE","")</x:f>
      </x:c>
      <x:c r="H4" s="72" t="str">
        <x:v>False-negative limit</x:v>
      </x:c>
      <x:c r="I4" s="74" t="n">
        <x:v>0.15</x:v>
      </x:c>
    </x:row>
    <x:row r="5">
      <x:c r="A5" s="75" t="n">
        <x:v>2</x:v>
      </x:c>
      <x:c r="B5" s="40" t="n">
        <x:v>0.1</x:v>
      </x:c>
      <x:c r="C5" s="40" t="n">
        <x:v>44</x:v>
      </x:c>
      <x:c r="D5" s="40" t="n">
        <x:v>0</x:v>
      </x:c>
      <x:c r="E5" s="76" t="n">
        <x:v>0</x:v>
      </x:c>
      <x:c r="F5" s="43" t="str">
        <x:f>IF(OR(B5&gt;$I$4,D5&gt;4,E5&gt;=3),"INVESTIGATE","")</x:f>
      </x:c>
      <x:c r="H5" s="75" t="str">
        <x:v>Signal months</x:v>
      </x:c>
      <x:c r="I5" s="76" t="n">
        <x:f>COUNTIF(F4:F15,"INVESTIGATE")</x:f>
        <x:v>3</x:v>
      </x:c>
    </x:row>
    <x:row r="6">
      <x:c r="A6" s="75" t="n">
        <x:v>3</x:v>
      </x:c>
      <x:c r="B6" s="40" t="n">
        <x:v>0.11</x:v>
      </x:c>
      <x:c r="C6" s="40" t="n">
        <x:v>43</x:v>
      </x:c>
      <x:c r="D6" s="40" t="n">
        <x:v>1</x:v>
      </x:c>
      <x:c r="E6" s="76" t="n">
        <x:v>1</x:v>
      </x:c>
      <x:c r="F6" s="43" t="str">
        <x:f>IF(OR(B6&gt;$I$4,D6&gt;4,E6&gt;=3),"INVESTIGATE","")</x:f>
      </x:c>
      <x:c r="H6" s="77" t="str">
        <x:v>Action</x:v>
      </x:c>
      <x:c r="I6" s="79" t="str">
        <x:f>IF(I5&gt;0,"Contain, investigate, and verify CAPA","Continue monitoring")</x:f>
        <x:v>Contain, investigate, and verify CAPA</x:v>
      </x:c>
    </x:row>
    <x:row r="7">
      <x:c r="A7" s="75" t="n">
        <x:v>4</x:v>
      </x:c>
      <x:c r="B7" s="40" t="n">
        <x:v>0.09</x:v>
      </x:c>
      <x:c r="C7" s="40" t="n">
        <x:v>45</x:v>
      </x:c>
      <x:c r="D7" s="40" t="n">
        <x:v>0</x:v>
      </x:c>
      <x:c r="E7" s="76" t="n">
        <x:v>0</x:v>
      </x:c>
      <x:c r="F7" s="43" t="str">
        <x:f>IF(OR(B7&gt;$I$4,D7&gt;4,E7&gt;=3),"INVESTIGATE","")</x:f>
      </x:c>
    </x:row>
    <x:row r="8">
      <x:c r="A8" s="75" t="n">
        <x:v>5</x:v>
      </x:c>
      <x:c r="B8" s="40" t="n">
        <x:v>0.1</x:v>
      </x:c>
      <x:c r="C8" s="40" t="n">
        <x:v>46</x:v>
      </x:c>
      <x:c r="D8" s="40" t="n">
        <x:v>0.5</x:v>
      </x:c>
      <x:c r="E8" s="76" t="n">
        <x:v>0</x:v>
      </x:c>
      <x:c r="F8" s="43" t="str">
        <x:f>IF(OR(B8&gt;$I$4,D8&gt;4,E8&gt;=3),"INVESTIGATE","")</x:f>
      </x:c>
    </x:row>
    <x:row r="9">
      <x:c r="A9" s="75" t="n">
        <x:v>6</x:v>
      </x:c>
      <x:c r="B9" s="40" t="n">
        <x:v>0.12</x:v>
      </x:c>
      <x:c r="C9" s="40" t="n">
        <x:v>47</x:v>
      </x:c>
      <x:c r="D9" s="40" t="n">
        <x:v>1</x:v>
      </x:c>
      <x:c r="E9" s="76" t="n">
        <x:v>1</x:v>
      </x:c>
      <x:c r="F9" s="43" t="str">
        <x:f>IF(OR(B9&gt;$I$4,D9&gt;4,E9&gt;=3),"INVESTIGATE","")</x:f>
      </x:c>
    </x:row>
    <x:row r="10">
      <x:c r="A10" s="75" t="n">
        <x:v>7</x:v>
      </x:c>
      <x:c r="B10" s="40" t="n">
        <x:v>0.1</x:v>
      </x:c>
      <x:c r="C10" s="40" t="n">
        <x:v>45</x:v>
      </x:c>
      <x:c r="D10" s="40" t="n">
        <x:v>0</x:v>
      </x:c>
      <x:c r="E10" s="76" t="n">
        <x:v>0</x:v>
      </x:c>
      <x:c r="F10" s="43" t="str">
        <x:f>IF(OR(B10&gt;$I$4,D10&gt;4,E10&gt;=3),"INVESTIGATE","")</x:f>
      </x:c>
    </x:row>
    <x:row r="11">
      <x:c r="A11" s="75" t="n">
        <x:v>8</x:v>
      </x:c>
      <x:c r="B11" s="40" t="n">
        <x:v>0.18</x:v>
      </x:c>
      <x:c r="C11" s="40" t="n">
        <x:v>71</x:v>
      </x:c>
      <x:c r="D11" s="40" t="n">
        <x:v>5</x:v>
      </x:c>
      <x:c r="E11" s="76" t="n">
        <x:v>3</x:v>
      </x:c>
      <x:c r="F11" s="43" t="str">
        <x:f>IF(OR(B11&gt;$I$4,D11&gt;4,E11&gt;=3),"INVESTIGATE","")</x:f>
        <x:v>INVESTIGATE</x:v>
      </x:c>
    </x:row>
    <x:row r="12">
      <x:c r="A12" s="75" t="n">
        <x:v>9</x:v>
      </x:c>
      <x:c r="B12" s="40" t="n">
        <x:v>0.17</x:v>
      </x:c>
      <x:c r="C12" s="40" t="n">
        <x:v>69</x:v>
      </x:c>
      <x:c r="D12" s="40" t="n">
        <x:v>3.5</x:v>
      </x:c>
      <x:c r="E12" s="76" t="n">
        <x:v>2</x:v>
      </x:c>
      <x:c r="F12" s="43" t="str">
        <x:f>IF(OR(B12&gt;$I$4,D12&gt;4,E12&gt;=3),"INVESTIGATE","")</x:f>
        <x:v>INVESTIGATE</x:v>
      </x:c>
    </x:row>
    <x:row r="13">
      <x:c r="A13" s="75" t="n">
        <x:v>10</x:v>
      </x:c>
      <x:c r="B13" s="40" t="n">
        <x:v>0.16</x:v>
      </x:c>
      <x:c r="C13" s="40" t="n">
        <x:v>65</x:v>
      </x:c>
      <x:c r="D13" s="40" t="n">
        <x:v>2</x:v>
      </x:c>
      <x:c r="E13" s="76" t="n">
        <x:v>2</x:v>
      </x:c>
      <x:c r="F13" s="43" t="str">
        <x:f>IF(OR(B13&gt;$I$4,D13&gt;4,E13&gt;=3),"INVESTIGATE","")</x:f>
        <x:v>INVESTIGATE</x:v>
      </x:c>
    </x:row>
    <x:row r="14">
      <x:c r="A14" s="75" t="n">
        <x:v>11</x:v>
      </x:c>
      <x:c r="B14" s="40" t="n">
        <x:v>0.13</x:v>
      </x:c>
      <x:c r="C14" s="40" t="n">
        <x:v>51</x:v>
      </x:c>
      <x:c r="D14" s="40" t="n">
        <x:v>1</x:v>
      </x:c>
      <x:c r="E14" s="76" t="n">
        <x:v>1</x:v>
      </x:c>
      <x:c r="F14" s="43" t="str">
        <x:f>IF(OR(B14&gt;$I$4,D14&gt;4,E14&gt;=3),"INVESTIGATE","")</x:f>
      </x:c>
    </x:row>
    <x:row r="15">
      <x:c r="A15" s="77" t="n">
        <x:v>12</x:v>
      </x:c>
      <x:c r="B15" s="78" t="n">
        <x:v>0.11</x:v>
      </x:c>
      <x:c r="C15" s="78" t="n">
        <x:v>47</x:v>
      </x:c>
      <x:c r="D15" s="78" t="n">
        <x:v>0.5</x:v>
      </x:c>
      <x:c r="E15" s="79" t="n">
        <x:v>0</x:v>
      </x:c>
      <x:c r="F15" s="44" t="str">
        <x:f>IF(OR(B15&gt;$I$4,D15&gt;4,E15&gt;=3),"INVESTIGATE","")</x:f>
      </x:c>
    </x:row>
  </x:sheetData>
  <x:mergeCells>
    <x:mergeCell ref="A1:J1"/>
  </x:mergeCells>
  <x:pageMargins left="0.7" right="0.7" top="0.75" bottom="0.75" header="0.3" footer="0.3"/>
</x:worksheet>
</file>

<file path=xl/worksheets/sheet3.xml><?xml version="1.0" encoding="utf-8"?>
<x:worksheet xmlns:x="http://schemas.openxmlformats.org/spreadsheetml/2006/main">
  <x:sheetFormatPr defaultRowHeight="15"/>
  <x:cols>
    <x:col min="1" max="1" width="32" hidden="0" customWidth="1"/>
    <x:col min="2" max="2" width="22" hidden="0" customWidth="1"/>
    <x:col min="3" max="3" width="22" hidden="0" customWidth="1"/>
    <x:col min="4" max="4" width="22" hidden="0" customWidth="1"/>
    <x:col min="5" max="5" width="22" hidden="0" customWidth="1"/>
  </x:cols>
  <x:sheetData>
    <x:row r="1">
      <x:c r="A1" s="5" t="str">
        <x:v>Blank template - replace synthetic values with governed local evidence</x:v>
      </x:c>
      <x:c r="B1" s="5"/>
      <x:c r="C1" s="5"/>
      <x:c r="D1" s="5"/>
      <x:c r="E1" s="5"/>
    </x:row>
    <x:row r="3">
      <x:c r="A3" s="57" t="str">
        <x:v>Month</x:v>
      </x:c>
      <x:c r="B3" s="58" t="str">
        <x:v>False-negative rate</x:v>
      </x:c>
      <x:c r="C3" s="58" t="str">
        <x:v>Alerts/day</x:v>
      </x:c>
      <x:c r="D3" s="58" t="str">
        <x:v>Downtime hours</x:v>
      </x:c>
      <x:c r="E3" s="59" t="str">
        <x:v>Complaints</x:v>
      </x:c>
    </x:row>
    <x:row r="4">
      <x:c r="A4" s="72" t="n">
        <x:v>1</x:v>
      </x:c>
      <x:c r="B4" s="73" t="str"/>
      <x:c r="C4" s="73" t="str"/>
      <x:c r="D4" s="73" t="str"/>
      <x:c r="E4" s="74" t="str"/>
    </x:row>
    <x:row r="5">
      <x:c r="A5" s="75" t="n">
        <x:v>2</x:v>
      </x:c>
      <x:c r="B5" s="40" t="str"/>
      <x:c r="C5" s="40" t="str"/>
      <x:c r="D5" s="40" t="str"/>
      <x:c r="E5" s="76" t="str"/>
    </x:row>
    <x:row r="6">
      <x:c r="A6" s="75" t="n">
        <x:v>3</x:v>
      </x:c>
      <x:c r="B6" s="40" t="str"/>
      <x:c r="C6" s="40" t="str"/>
      <x:c r="D6" s="40" t="str"/>
      <x:c r="E6" s="76" t="str"/>
    </x:row>
    <x:row r="7">
      <x:c r="A7" s="75" t="n">
        <x:v>4</x:v>
      </x:c>
      <x:c r="B7" s="40" t="str"/>
      <x:c r="C7" s="40" t="str"/>
      <x:c r="D7" s="40" t="str"/>
      <x:c r="E7" s="76" t="str"/>
    </x:row>
    <x:row r="8">
      <x:c r="A8" s="75" t="n">
        <x:v>5</x:v>
      </x:c>
      <x:c r="B8" s="40" t="str"/>
      <x:c r="C8" s="40" t="str"/>
      <x:c r="D8" s="40" t="str"/>
      <x:c r="E8" s="76" t="str"/>
    </x:row>
    <x:row r="9">
      <x:c r="A9" s="75" t="n">
        <x:v>6</x:v>
      </x:c>
      <x:c r="B9" s="40" t="str"/>
      <x:c r="C9" s="40" t="str"/>
      <x:c r="D9" s="40" t="str"/>
      <x:c r="E9" s="76" t="str"/>
    </x:row>
    <x:row r="10">
      <x:c r="A10" s="75" t="n">
        <x:v>7</x:v>
      </x:c>
      <x:c r="B10" s="40" t="str"/>
      <x:c r="C10" s="40" t="str"/>
      <x:c r="D10" s="40" t="str"/>
      <x:c r="E10" s="76" t="str"/>
    </x:row>
    <x:row r="11">
      <x:c r="A11" s="75" t="n">
        <x:v>8</x:v>
      </x:c>
      <x:c r="B11" s="40" t="str"/>
      <x:c r="C11" s="40" t="str"/>
      <x:c r="D11" s="40" t="str"/>
      <x:c r="E11" s="76" t="str"/>
    </x:row>
    <x:row r="12">
      <x:c r="A12" s="75" t="n">
        <x:v>9</x:v>
      </x:c>
      <x:c r="B12" s="40" t="str"/>
      <x:c r="C12" s="40" t="str"/>
      <x:c r="D12" s="40" t="str"/>
      <x:c r="E12" s="76" t="str"/>
    </x:row>
    <x:row r="13">
      <x:c r="A13" s="75" t="n">
        <x:v>10</x:v>
      </x:c>
      <x:c r="B13" s="40" t="str"/>
      <x:c r="C13" s="40" t="str"/>
      <x:c r="D13" s="40" t="str"/>
      <x:c r="E13" s="76" t="str"/>
    </x:row>
    <x:row r="14">
      <x:c r="A14" s="75" t="n">
        <x:v>11</x:v>
      </x:c>
      <x:c r="B14" s="40" t="str"/>
      <x:c r="C14" s="40" t="str"/>
      <x:c r="D14" s="40" t="str"/>
      <x:c r="E14" s="76" t="str"/>
    </x:row>
    <x:row r="15">
      <x:c r="A15" s="77" t="n">
        <x:v>12</x:v>
      </x:c>
      <x:c r="B15" s="78" t="str"/>
      <x:c r="C15" s="78" t="str"/>
      <x:c r="D15" s="78" t="str"/>
      <x:c r="E15" s="79" t="str"/>
    </x:row>
  </x:sheetData>
  <x:mergeCells>
    <x:mergeCell ref="A1:E1"/>
  </x:mergeCells>
  <x:pageMargins left="0.7" right="0.7" top="0.75" bottom="0.75" header="0.3" footer="0.3"/>
</x:worksheet>
</file>

<file path=xl/worksheets/sheet4.xml><?xml version="1.0" encoding="utf-8"?>
<x:worksheet xmlns:x="http://schemas.openxmlformats.org/spreadsheetml/2006/main">
  <x:sheetFormatPr defaultRowHeight="15"/>
  <x:cols>
    <x:col min="1" max="1" width="32" hidden="0" customWidth="1"/>
    <x:col min="2" max="2" width="38" hidden="0" customWidth="1"/>
    <x:col min="3" max="3" width="18" hidden="0" customWidth="1"/>
    <x:col min="4" max="4" width="18" hidden="0" customWidth="1"/>
    <x:col min="5" max="5" width="18" hidden="0" customWidth="1"/>
    <x:col min="6" max="6" width="18" hidden="0" customWidth="1"/>
  </x:cols>
  <x:sheetData>
    <x:row r="1">
      <x:c r="A1" s="5" t="str">
        <x:v>AI Quality-Control, Accreditation, and Corrective Action</x:v>
      </x:c>
      <x:c r="B1" s="5"/>
      <x:c r="C1" s="5"/>
      <x:c r="D1" s="5"/>
      <x:c r="E1" s="5"/>
      <x:c r="F1" s="5"/>
    </x:row>
    <x:row r="2">
      <x:c r="A2" s="5"/>
      <x:c r="B2" s="5"/>
      <x:c r="C2" s="5"/>
      <x:c r="D2" s="5"/>
      <x:c r="E2" s="5"/>
      <x:c r="F2" s="5"/>
    </x:row>
    <x:row r="4">
      <x:c r="A4" s="57" t="str">
        <x:v>Reference metric</x:v>
      </x:c>
      <x:c r="B4" s="59" t="str">
        <x:v>Synthetic result</x:v>
      </x:c>
    </x:row>
    <x:row r="5">
      <x:c r="A5" s="72" t="str">
        <x:v>Primary signal</x:v>
      </x:c>
      <x:c r="B5" s="74" t="str">
        <x:v>Month 8 after software update</x:v>
      </x:c>
    </x:row>
    <x:row r="6">
      <x:c r="A6" s="77" t="str">
        <x:v>Action</x:v>
      </x:c>
      <x:c r="B6" s="79" t="str">
        <x:v>Restrict updated version, investigate, and verify corrective action</x:v>
      </x:c>
    </x:row>
    <x:row r="8">
      <x:c r="A8" s="97" t="str">
        <x:v>Worked interpretation</x:v>
      </x:c>
      <x:c r="B8" s="97"/>
      <x:c r="C8" s="97"/>
      <x:c r="D8" s="97"/>
      <x:c r="E8" s="97"/>
      <x:c r="F8" s="97"/>
    </x:row>
    <x:row r="9">
      <x:c r="A9" s="102" t="str">
        <x:v>The month-eight change breaches the false-negative limit and coincides with higher alert volume, downtime, and complaints. Immediate containment should restrict the updated version while the team reconstructs data, model, interface, and workflow changes. Closure requires evidence that corrective action restored performance, affected records and users were addressed, and version and update controls were improved.</x:v>
      </x:c>
      <x:c r="B9" s="102"/>
      <x:c r="C9" s="102"/>
      <x:c r="D9" s="102"/>
      <x:c r="E9" s="102"/>
      <x:c r="F9" s="102"/>
    </x:row>
    <x:row r="10">
      <x:c r="A10" s="102"/>
      <x:c r="B10" s="102"/>
      <x:c r="C10" s="102"/>
      <x:c r="D10" s="102"/>
      <x:c r="E10" s="102"/>
      <x:c r="F10" s="102"/>
    </x:row>
    <x:row r="11">
      <x:c r="A11" s="102"/>
      <x:c r="B11" s="102"/>
      <x:c r="C11" s="102"/>
      <x:c r="D11" s="102"/>
      <x:c r="E11" s="102"/>
      <x:c r="F11" s="102"/>
    </x:row>
    <x:row r="12">
      <x:c r="A12" s="102"/>
      <x:c r="B12" s="102"/>
      <x:c r="C12" s="102"/>
      <x:c r="D12" s="102"/>
      <x:c r="E12" s="102"/>
      <x:c r="F12" s="102"/>
    </x:row>
    <x:row r="13">
      <x:c r="A13" s="102"/>
      <x:c r="B13" s="102"/>
      <x:c r="C13" s="102"/>
      <x:c r="D13" s="102"/>
      <x:c r="E13" s="102"/>
      <x:c r="F13" s="102"/>
    </x:row>
    <x:row r="15">
      <x:c r="A15" s="108" t="str">
        <x:v>Interpret calculations with evidence quality, uncertainty, mandatory safeguards, implementation capacity, monitoring, and exit conditions.</x:v>
      </x:c>
      <x:c r="B15" s="108"/>
      <x:c r="C15" s="108"/>
      <x:c r="D15" s="108"/>
      <x:c r="E15" s="108"/>
      <x:c r="F15" s="108"/>
    </x:row>
  </x:sheetData>
  <x:mergeCells>
    <x:mergeCell ref="A1:F2"/>
    <x:mergeCell ref="A8:F8"/>
    <x:mergeCell ref="A9:F13"/>
    <x:mergeCell ref="A15:F15"/>
  </x:mergeCells>
  <x:pageMargins left="0.7" right="0.7" top="0.75" bottom="0.75" header="0.3" footer="0.3"/>
</x:worksheet>
</file>