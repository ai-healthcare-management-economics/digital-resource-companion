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f9323d65b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acd7094af944233"/>
    <x:sheet xmlns:r="http://schemas.openxmlformats.org/officeDocument/2006/relationships" name="Worked Inputs" sheetId="2" r:id="R247a09363a254ee5"/>
    <x:sheet xmlns:r="http://schemas.openxmlformats.org/officeDocument/2006/relationships" name="Blank Template" sheetId="3" r:id="R648f6cd2aea84268"/>
    <x:sheet xmlns:r="http://schemas.openxmlformats.org/officeDocument/2006/relationships" name="Decision Summary" sheetId="4" r:id="R50256dc2eb43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30323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c77bdc2ee493a" /><Relationship Type="http://schemas.openxmlformats.org/officeDocument/2006/relationships/theme" Target="/xl/theme/theme1.xml" Id="R369b81e85eff4bd9" /><Relationship Type="http://schemas.openxmlformats.org/officeDocument/2006/relationships/sharedStrings" Target="/xl/sharedStrings.xml" Id="Rd16ab81b97674f87" /><Relationship Type="http://schemas.openxmlformats.org/officeDocument/2006/relationships/worksheet" Target="/xl/worksheets/sheet1.xml" Id="Reacd7094af944233" /><Relationship Type="http://schemas.openxmlformats.org/officeDocument/2006/relationships/worksheet" Target="/xl/worksheets/sheet2.xml" Id="R247a09363a254ee5" /><Relationship Type="http://schemas.openxmlformats.org/officeDocument/2006/relationships/worksheet" Target="/xl/worksheets/sheet3.xml" Id="R648f6cd2aea84268" /><Relationship Type="http://schemas.openxmlformats.org/officeDocument/2006/relationships/worksheet" Target="/xl/worksheets/sheet4.xml" Id="R50256dc2eb43476b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02" t="str">
        <x:v>Five-Year Lifecycle Cost, Pricing, ROI, and Benefit Realization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04" t="str">
        <x:v>Example ID</x:v>
      </x:c>
      <x:c r="B4" s="42" t="str">
        <x:v>AIHE-CASE06</x:v>
      </x:c>
    </x:row>
    <x:row r="5">
      <x:c r="A5" s="106" t="str">
        <x:v>Chapter</x:v>
      </x:c>
      <x:c r="B5" s="43" t="str">
        <x:v>6: Lifecycle Cost, Pricing, and Benefit Realization</x:v>
      </x:c>
    </x:row>
    <x:row r="6">
      <x:c r="A6" s="106" t="str">
        <x:v>Decision question</x:v>
      </x:c>
      <x:c r="B6" s="43" t="str">
        <x:v>Does the proposed AI service create value after all lifecycle costs, pricing exposure, and benefit-conversion conditions are included?</x:v>
      </x:c>
    </x:row>
    <x:row r="7">
      <x:c r="A7" s="106" t="str">
        <x:v>Status</x:v>
      </x:c>
      <x:c r="B7" s="43" t="str">
        <x:v>Synthetic demonstration only</x:v>
      </x:c>
    </x:row>
    <x:row r="8">
      <x:c r="A8" s="106" t="str">
        <x:v>Version</x:v>
      </x:c>
      <x:c r="B8" s="43" t="str">
        <x:v>V1.0</x:v>
      </x:c>
    </x:row>
    <x:row r="9">
      <x:c r="A9" s="106" t="str">
        <x:v>Release date</x:v>
      </x:c>
      <x:c r="B9" s="43" t="str">
        <x:v>2026-08-06</x:v>
      </x:c>
    </x:row>
    <x:row r="10">
      <x:c r="A10" s="106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106" t="str">
        <x:v>Related resources</x:v>
      </x:c>
      <x:c r="B11" s="43" t="str">
        <x:v>AIHE-B01, AIHE-B02, AIHE-B, AIHE-M, AIHE-EX17, AIHE-B03</x:v>
      </x:c>
    </x:row>
    <x:row r="12">
      <x:c r="A12" s="108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2" max="12" width="24" hidden="0" customWidth="1"/>
    <x:col min="13" max="13" width="20" hidden="0" customWidth="1"/>
  </x:cols>
  <x:sheetData>
    <x:row r="1">
      <x:c r="A1" s="102" t="str">
        <x:v>Worked synthetic inputs and calculations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</x:row>
    <x:row r="3">
      <x:c r="A3" s="112" t="str">
        <x:v>Year</x:v>
      </x:c>
      <x:c r="B3" s="113" t="str">
        <x:v>Licence and variable fees</x:v>
      </x:c>
      <x:c r="C3" s="113" t="str">
        <x:v>Integration and data</x:v>
      </x:c>
      <x:c r="D3" s="113" t="str">
        <x:v>Training and workflow</x:v>
      </x:c>
      <x:c r="E3" s="113" t="str">
        <x:v>Monitoring and assurance</x:v>
      </x:c>
      <x:c r="F3" s="113" t="str">
        <x:v>Cybersecurity and resilience</x:v>
      </x:c>
      <x:c r="G3" s="113" t="str">
        <x:v>Update validation</x:v>
      </x:c>
      <x:c r="H3" s="114" t="str">
        <x:v>Expected benefits</x:v>
      </x:c>
      <x:c r="I3" s="112" t="str">
        <x:v>Total cost</x:v>
      </x:c>
      <x:c r="J3" s="114" t="str">
        <x:v>Net result</x:v>
      </x:c>
      <x:c r="L3" s="112" t="str">
        <x:v>Summary</x:v>
      </x:c>
      <x:c r="M3" s="114" t="str">
        <x:v>Formula result</x:v>
      </x:c>
    </x:row>
    <x:row r="4">
      <x:c r="A4" s="72" t="n">
        <x:v>1</x:v>
      </x:c>
      <x:c r="B4" s="73" t="n">
        <x:v>160000</x:v>
      </x:c>
      <x:c r="C4" s="73" t="n">
        <x:v>280000</x:v>
      </x:c>
      <x:c r="D4" s="73" t="n">
        <x:v>45000</x:v>
      </x:c>
      <x:c r="E4" s="73" t="n">
        <x:v>55000</x:v>
      </x:c>
      <x:c r="F4" s="73" t="n">
        <x:v>25000</x:v>
      </x:c>
      <x:c r="G4" s="73" t="n">
        <x:v>0</x:v>
      </x:c>
      <x:c r="H4" s="74" t="n">
        <x:v>120000</x:v>
      </x:c>
      <x:c r="I4" s="72" t="n">
        <x:f>SUM(B4:G4)</x:f>
        <x:v>565000</x:v>
      </x:c>
      <x:c r="J4" s="74" t="n">
        <x:f>H4-I4</x:f>
        <x:v>-445000</x:v>
      </x:c>
      <x:c r="L4" s="72" t="str">
        <x:v>Five-year cost</x:v>
      </x:c>
      <x:c r="M4" s="74" t="n">
        <x:f>SUM(I4:I8)</x:f>
        <x:v>1930000</x:v>
      </x:c>
    </x:row>
    <x:row r="5">
      <x:c r="A5" s="75" t="n">
        <x:v>2</x:v>
      </x:c>
      <x:c r="B5" s="40" t="n">
        <x:v>180000</x:v>
      </x:c>
      <x:c r="C5" s="40" t="n">
        <x:v>30000</x:v>
      </x:c>
      <x:c r="D5" s="40" t="n">
        <x:v>15000</x:v>
      </x:c>
      <x:c r="E5" s="40" t="n">
        <x:v>55000</x:v>
      </x:c>
      <x:c r="F5" s="40" t="n">
        <x:v>15000</x:v>
      </x:c>
      <x:c r="G5" s="40" t="n">
        <x:v>30000</x:v>
      </x:c>
      <x:c r="H5" s="76" t="n">
        <x:v>240000</x:v>
      </x:c>
      <x:c r="I5" s="75" t="n">
        <x:f>SUM(B5:G5)</x:f>
        <x:v>325000</x:v>
      </x:c>
      <x:c r="J5" s="76" t="n">
        <x:f>H5-I5</x:f>
        <x:v>-85000</x:v>
      </x:c>
      <x:c r="L5" s="75" t="str">
        <x:v>Five-year benefit</x:v>
      </x:c>
      <x:c r="M5" s="76" t="n">
        <x:f>SUM(H4:H8)</x:f>
        <x:v>1340000</x:v>
      </x:c>
    </x:row>
    <x:row r="6">
      <x:c r="A6" s="75" t="n">
        <x:v>3</x:v>
      </x:c>
      <x:c r="B6" s="40" t="n">
        <x:v>190000</x:v>
      </x:c>
      <x:c r="C6" s="40" t="n">
        <x:v>25000</x:v>
      </x:c>
      <x:c r="D6" s="40" t="n">
        <x:v>15000</x:v>
      </x:c>
      <x:c r="E6" s="40" t="n">
        <x:v>55000</x:v>
      </x:c>
      <x:c r="F6" s="40" t="n">
        <x:v>15000</x:v>
      </x:c>
      <x:c r="G6" s="40" t="n">
        <x:v>30000</x:v>
      </x:c>
      <x:c r="H6" s="76" t="n">
        <x:v>310000</x:v>
      </x:c>
      <x:c r="I6" s="75" t="n">
        <x:f>SUM(B6:G6)</x:f>
        <x:v>330000</x:v>
      </x:c>
      <x:c r="J6" s="76" t="n">
        <x:f>H6-I6</x:f>
        <x:v>-20000</x:v>
      </x:c>
      <x:c r="L6" s="75" t="str">
        <x:v>Five-year net</x:v>
      </x:c>
      <x:c r="M6" s="76" t="n">
        <x:f>M5-M4</x:f>
        <x:v>-590000</x:v>
      </x:c>
    </x:row>
    <x:row r="7">
      <x:c r="A7" s="75" t="n">
        <x:v>4</x:v>
      </x:c>
      <x:c r="B7" s="40" t="n">
        <x:v>200000</x:v>
      </x:c>
      <x:c r="C7" s="40" t="n">
        <x:v>25000</x:v>
      </x:c>
      <x:c r="D7" s="40" t="n">
        <x:v>15000</x:v>
      </x:c>
      <x:c r="E7" s="40" t="n">
        <x:v>60000</x:v>
      </x:c>
      <x:c r="F7" s="40" t="n">
        <x:v>15000</x:v>
      </x:c>
      <x:c r="G7" s="40" t="n">
        <x:v>35000</x:v>
      </x:c>
      <x:c r="H7" s="76" t="n">
        <x:v>330000</x:v>
      </x:c>
      <x:c r="I7" s="75" t="n">
        <x:f>SUM(B7:G7)</x:f>
        <x:v>350000</x:v>
      </x:c>
      <x:c r="J7" s="76" t="n">
        <x:f>H7-I7</x:f>
        <x:v>-20000</x:v>
      </x:c>
      <x:c r="L7" s="77" t="str">
        <x:v>ROI</x:v>
      </x:c>
      <x:c r="M7" s="79" t="n">
        <x:f>M6/M4</x:f>
        <x:v>-0.30569948186528495</x:v>
      </x:c>
    </x:row>
    <x:row r="8">
      <x:c r="A8" s="77" t="n">
        <x:v>5</x:v>
      </x:c>
      <x:c r="B8" s="78" t="n">
        <x:v>210000</x:v>
      </x:c>
      <x:c r="C8" s="78" t="n">
        <x:v>25000</x:v>
      </x:c>
      <x:c r="D8" s="78" t="n">
        <x:v>15000</x:v>
      </x:c>
      <x:c r="E8" s="78" t="n">
        <x:v>60000</x:v>
      </x:c>
      <x:c r="F8" s="78" t="n">
        <x:v>15000</x:v>
      </x:c>
      <x:c r="G8" s="78" t="n">
        <x:v>35000</x:v>
      </x:c>
      <x:c r="H8" s="79" t="n">
        <x:v>340000</x:v>
      </x:c>
      <x:c r="I8" s="77" t="n">
        <x:f>SUM(B8:G8)</x:f>
        <x:v>360000</x:v>
      </x:c>
      <x:c r="J8" s="79" t="n">
        <x:f>H8-I8</x:f>
        <x:v>-20000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2" t="str">
        <x:v>Blank template - replace synthetic values with governed local evidence</x:v>
      </x:c>
      <x:c r="B1" s="102"/>
      <x:c r="C1" s="102"/>
      <x:c r="D1" s="102"/>
      <x:c r="E1" s="102"/>
      <x:c r="F1" s="102"/>
      <x:c r="G1" s="102"/>
      <x:c r="H1" s="102"/>
    </x:row>
    <x:row r="3">
      <x:c r="A3" s="112" t="str">
        <x:v>Year</x:v>
      </x:c>
      <x:c r="B3" s="113" t="str">
        <x:v>Licence and variable fees</x:v>
      </x:c>
      <x:c r="C3" s="113" t="str">
        <x:v>Integration and data</x:v>
      </x:c>
      <x:c r="D3" s="113" t="str">
        <x:v>Training and workflow</x:v>
      </x:c>
      <x:c r="E3" s="113" t="str">
        <x:v>Monitoring and assurance</x:v>
      </x:c>
      <x:c r="F3" s="113" t="str">
        <x:v>Cybersecurity and resilience</x:v>
      </x:c>
      <x:c r="G3" s="113" t="str">
        <x:v>Update validation</x:v>
      </x:c>
      <x:c r="H3" s="114" t="str">
        <x:v>Expected benefits</x:v>
      </x:c>
    </x:row>
    <x:row r="4">
      <x:c r="A4" s="72" t="n">
        <x:v>1</x:v>
      </x:c>
      <x:c r="B4" s="73" t="str"/>
      <x:c r="C4" s="73" t="str"/>
      <x:c r="D4" s="73" t="str"/>
      <x:c r="E4" s="73" t="str"/>
      <x:c r="F4" s="73" t="str"/>
      <x:c r="G4" s="73" t="str"/>
      <x:c r="H4" s="74" t="str"/>
    </x:row>
    <x:row r="5">
      <x:c r="A5" s="75" t="n">
        <x:v>2</x:v>
      </x:c>
      <x:c r="B5" s="40" t="str"/>
      <x:c r="C5" s="40" t="str"/>
      <x:c r="D5" s="40" t="str"/>
      <x:c r="E5" s="40" t="str"/>
      <x:c r="F5" s="40" t="str"/>
      <x:c r="G5" s="40" t="str"/>
      <x:c r="H5" s="76" t="str"/>
    </x:row>
    <x:row r="6">
      <x:c r="A6" s="75" t="n">
        <x:v>3</x:v>
      </x:c>
      <x:c r="B6" s="40" t="str"/>
      <x:c r="C6" s="40" t="str"/>
      <x:c r="D6" s="40" t="str"/>
      <x:c r="E6" s="40" t="str"/>
      <x:c r="F6" s="40" t="str"/>
      <x:c r="G6" s="40" t="str"/>
      <x:c r="H6" s="76" t="str"/>
    </x:row>
    <x:row r="7">
      <x:c r="A7" s="75" t="n">
        <x:v>4</x:v>
      </x:c>
      <x:c r="B7" s="40" t="str"/>
      <x:c r="C7" s="40" t="str"/>
      <x:c r="D7" s="40" t="str"/>
      <x:c r="E7" s="40" t="str"/>
      <x:c r="F7" s="40" t="str"/>
      <x:c r="G7" s="40" t="str"/>
      <x:c r="H7" s="76" t="str"/>
    </x:row>
    <x:row r="8">
      <x:c r="A8" s="77" t="n">
        <x:v>5</x:v>
      </x:c>
      <x:c r="B8" s="78" t="str"/>
      <x:c r="C8" s="78" t="str"/>
      <x:c r="D8" s="78" t="str"/>
      <x:c r="E8" s="78" t="str"/>
      <x:c r="F8" s="78" t="str"/>
      <x:c r="G8" s="78" t="str"/>
      <x:c r="H8" s="79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2" t="str">
        <x:v>Five-Year Lifecycle Cost, Pricing, ROI, and Benefit Realization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12" t="str">
        <x:v>Reference metric</x:v>
      </x:c>
      <x:c r="B4" s="114" t="str">
        <x:v>Synthetic result</x:v>
      </x:c>
    </x:row>
    <x:row r="5">
      <x:c r="A5" s="72" t="str">
        <x:v>Pattern</x:v>
      </x:c>
      <x:c r="B5" s="74" t="str">
        <x:v>Large Year-1 deficit with later benefit ramp-up</x:v>
      </x:c>
    </x:row>
    <x:row r="6">
      <x:c r="A6" s="77" t="str">
        <x:v>Decision</x:v>
      </x:c>
      <x:c r="B6" s="79" t="str">
        <x:v>Stage contract; cap variable fees; link renewal to verified benefits</x:v>
      </x:c>
    </x:row>
    <x:row r="8">
      <x:c r="A8" s="115" t="str">
        <x:v>Worked interpretation</x:v>
      </x:c>
      <x:c r="B8" s="115"/>
      <x:c r="C8" s="115"/>
      <x:c r="D8" s="115"/>
      <x:c r="E8" s="115"/>
      <x:c r="F8" s="115"/>
    </x:row>
    <x:row r="9">
      <x:c r="A9" s="116" t="str">
        <x:v>Year one is strongly negative because integration and data work precede benefit realization. Later years improve, but the five-year result remains sensitive to volume-linked fees and the share of time converted into usable capacity. The organization should cap variable fees, price integration and monitoring explicitly, and link renewal to verified local benefits through a staged contract with a break clause.</x:v>
      </x:c>
      <x:c r="B9" s="116"/>
      <x:c r="C9" s="116"/>
      <x:c r="D9" s="116"/>
      <x:c r="E9" s="116"/>
      <x:c r="F9" s="116"/>
    </x:row>
    <x:row r="10">
      <x:c r="A10" s="116"/>
      <x:c r="B10" s="116"/>
      <x:c r="C10" s="116"/>
      <x:c r="D10" s="116"/>
      <x:c r="E10" s="116"/>
      <x:c r="F10" s="116"/>
    </x:row>
    <x:row r="11">
      <x:c r="A11" s="116"/>
      <x:c r="B11" s="116"/>
      <x:c r="C11" s="116"/>
      <x:c r="D11" s="116"/>
      <x:c r="E11" s="116"/>
      <x:c r="F11" s="116"/>
    </x:row>
    <x:row r="12">
      <x:c r="A12" s="116"/>
      <x:c r="B12" s="116"/>
      <x:c r="C12" s="116"/>
      <x:c r="D12" s="116"/>
      <x:c r="E12" s="116"/>
      <x:c r="F12" s="116"/>
    </x:row>
    <x:row r="13">
      <x:c r="A13" s="116"/>
      <x:c r="B13" s="116"/>
      <x:c r="C13" s="116"/>
      <x:c r="D13" s="116"/>
      <x:c r="E13" s="116"/>
      <x:c r="F13" s="116"/>
    </x:row>
    <x:row r="15">
      <x:c r="A15" s="117" t="str">
        <x:v>Interpret calculations with evidence quality, uncertainty, mandatory safeguards, implementation capacity, monitoring, and exit conditions.</x:v>
      </x:c>
      <x:c r="B15" s="117"/>
      <x:c r="C15" s="117"/>
      <x:c r="D15" s="117"/>
      <x:c r="E15" s="117"/>
      <x:c r="F15" s="117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