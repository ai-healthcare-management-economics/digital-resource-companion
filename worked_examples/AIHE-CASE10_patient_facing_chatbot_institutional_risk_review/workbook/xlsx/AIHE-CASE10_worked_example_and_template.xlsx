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db5bdfd45b442c0" /></Relationships>
</file>

<file path=xl/workbook.xml><?xml version="1.0" encoding="utf-8"?>
<x:workbook xmlns:x="http://schemas.openxmlformats.org/spreadsheetml/2006/main">
  <x:sheets>
    <x:sheet xmlns:r="http://schemas.openxmlformats.org/officeDocument/2006/relationships" name="Guide" sheetId="1" r:id="R3696d1617dbd41ab"/>
    <x:sheet xmlns:r="http://schemas.openxmlformats.org/officeDocument/2006/relationships" name="Worked Inputs" sheetId="2" r:id="R4245c1accfa94f93"/>
    <x:sheet xmlns:r="http://schemas.openxmlformats.org/officeDocument/2006/relationships" name="Blank Template" sheetId="3" r:id="R6ae64b59331b40fb"/>
    <x:sheet xmlns:r="http://schemas.openxmlformats.org/officeDocument/2006/relationships" name="Decision Summary" sheetId="4" r:id="R0d842ff1ec914a75"/>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23313D"/>
      <x:name val="Carlito"/>
    </x:font>
    <x:font>
      <x:b/>
      <x:sz val="11"/>
      <x:color rgb="FFFFFFFF"/>
      <x:name val="Carlito"/>
    </x:font>
    <x:font>
      <x:i/>
      <x:sz val="11"/>
      <x:name val="Carlito"/>
    </x:font>
    <x:font>
      <x:b/>
      <x:sz val="11"/>
      <x:color rgb="FF303236"/>
      <x:name val="Carlito"/>
    </x:font>
  </x:fonts>
  <x:fills count="9">
    <x:fill>
      <x:patternFill patternType="none"/>
    </x:fill>
    <x:fill>
      <x:patternFill patternType="gray125"/>
    </x:fill>
    <x:fill>
      <x:patternFill patternType="solid">
        <x:fgColor rgb="FF7A1731"/>
      </x:patternFill>
    </x:fill>
    <x:fill>
      <x:patternFill patternType="solid">
        <x:fgColor rgb="FFE8DDD5"/>
      </x:patternFill>
    </x:fill>
    <x:fill>
      <x:patternFill patternType="solid">
        <x:fgColor rgb="FFB38A52"/>
      </x:patternFill>
    </x:fill>
    <x:fill>
      <x:patternFill patternType="solid">
        <x:fgColor rgb="FFF7F3EF"/>
      </x:patternFill>
    </x:fill>
    <x:fill>
      <x:patternFill patternType="solid">
        <x:fgColor rgb="FFFFF3CD"/>
      </x:patternFill>
    </x:fill>
    <x:fill>
      <x:patternFill patternType="solid">
        <x:fgColor rgb="FF6B2230"/>
      </x:patternFill>
    </x:fill>
    <x:fill>
      <x:patternFill patternType="solid">
        <x:fgColor rgb="FFF5F0E7"/>
      </x:patternFill>
    </x:fill>
  </x:fills>
  <x:borders count="36">
    <x:border/>
    <x:border/>
    <x:border>
      <x:left style="thin">
        <x:color rgb="FFB7A89F"/>
      </x:left>
      <x:right style="thin">
        <x:color rgb="FFB7A89F"/>
      </x:right>
      <x:top style="thin">
        <x:color rgb="FFB7A89F"/>
      </x:top>
    </x:border>
    <x:border>
      <x:left style="thin">
        <x:color rgb="FFB7A89F"/>
      </x:left>
      <x:right style="thin">
        <x:color rgb="FFB7A89F"/>
      </x:right>
    </x:border>
    <x:border>
      <x:left style="thin">
        <x:color rgb="FFB7A89F"/>
      </x:left>
      <x:right style="thin">
        <x:color rgb="FFB7A89F"/>
      </x:right>
      <x:bottom style="thin">
        <x:color rgb="FFB7A89F"/>
      </x:bottom>
    </x:border>
    <x:border>
      <x:left style="thin">
        <x:color rgb="FFB7A89F"/>
      </x:left>
      <x:right style="thin">
        <x:color rgb="FFB7A89F"/>
      </x:right>
      <x:top style="thin">
        <x:color rgb="FFB7A89F"/>
      </x:top>
    </x:border>
    <x:border>
      <x:left style="thin">
        <x:color rgb="FFB7A89F"/>
      </x:left>
      <x:right style="thin">
        <x:color rgb="FFB7A89F"/>
      </x:right>
    </x:border>
    <x:border>
      <x:left style="thin">
        <x:color rgb="FFB7A89F"/>
      </x:left>
      <x:right style="thin">
        <x:color rgb="FFB7A89F"/>
      </x:right>
      <x:bottom style="thin">
        <x:color rgb="FFB7A89F"/>
      </x:bottom>
    </x:border>
    <x:border>
      <x:left style="thin">
        <x:color rgb="FFDED6D0"/>
      </x:left>
      <x:right style="thin">
        <x:color rgb="FFDED6D0"/>
      </x:right>
      <x:top style="thin">
        <x:color rgb="FFDED6D0"/>
      </x:top>
    </x:border>
    <x:border>
      <x:left style="thin">
        <x:color rgb="FFDED6D0"/>
      </x:left>
      <x:right style="thin">
        <x:color rgb="FFDED6D0"/>
      </x:right>
    </x:border>
    <x:border>
      <x:left style="thin">
        <x:color rgb="FFDED6D0"/>
      </x:left>
      <x:right style="thin">
        <x:color rgb="FFDED6D0"/>
      </x:right>
      <x:bottom style="thin">
        <x:color rgb="FFDED6D0"/>
      </x:bottom>
    </x:border>
    <x:border>
      <x:left style="thin">
        <x:color rgb="FFDED6D0"/>
      </x:left>
      <x:right style="thin">
        <x:color rgb="FFDED6D0"/>
      </x:right>
      <x:top style="thin">
        <x:color rgb="FFDED6D0"/>
      </x:top>
    </x:border>
    <x:border>
      <x:left style="thin">
        <x:color rgb="FFDED6D0"/>
      </x:left>
      <x:right style="thin">
        <x:color rgb="FFDED6D0"/>
      </x:right>
    </x:border>
    <x:border>
      <x:left style="thin">
        <x:color rgb="FFDED6D0"/>
      </x:left>
      <x:right style="thin">
        <x:color rgb="FFDED6D0"/>
      </x:right>
      <x:bottom style="thin">
        <x:color rgb="FFDED6D0"/>
      </x:bottom>
    </x:border>
    <x:border>
      <x:left style="thin">
        <x:color rgb="FFB7A89F"/>
      </x:left>
      <x:top style="thin">
        <x:color rgb="FFB7A89F"/>
      </x:top>
      <x:bottom style="thin">
        <x:color rgb="FFB7A89F"/>
      </x:bottom>
    </x:border>
    <x:border>
      <x:top style="thin">
        <x:color rgb="FFB7A89F"/>
      </x:top>
      <x:bottom style="thin">
        <x:color rgb="FFB7A89F"/>
      </x:bottom>
    </x:border>
    <x:border>
      <x:right style="thin">
        <x:color rgb="FFB7A89F"/>
      </x:right>
      <x:top style="thin">
        <x:color rgb="FFB7A89F"/>
      </x:top>
      <x:bottom style="thin">
        <x:color rgb="FFB7A89F"/>
      </x:bottom>
    </x:border>
    <x:border>
      <x:left style="thin">
        <x:color rgb="FFB7A89F"/>
      </x:left>
      <x:top style="thin">
        <x:color rgb="FFB7A89F"/>
      </x:top>
      <x:bottom style="thin">
        <x:color rgb="FFB7A89F"/>
      </x:bottom>
    </x:border>
    <x:border>
      <x:top style="thin">
        <x:color rgb="FFB7A89F"/>
      </x:top>
      <x:bottom style="thin">
        <x:color rgb="FFB7A89F"/>
      </x:bottom>
    </x:border>
    <x:border>
      <x:right style="thin">
        <x:color rgb="FFB7A89F"/>
      </x:right>
      <x:top style="thin">
        <x:color rgb="FFB7A89F"/>
      </x:top>
      <x:bottom style="thin">
        <x:color rgb="FFB7A89F"/>
      </x:bottom>
    </x:border>
    <x:border>
      <x:left style="thin">
        <x:color rgb="FFDED6D0"/>
      </x:left>
      <x:top style="thin">
        <x:color rgb="FFDED6D0"/>
      </x:top>
    </x:border>
    <x:border>
      <x:top style="thin">
        <x:color rgb="FFDED6D0"/>
      </x:top>
    </x:border>
    <x:border>
      <x:right style="thin">
        <x:color rgb="FFDED6D0"/>
      </x:right>
      <x:top style="thin">
        <x:color rgb="FFDED6D0"/>
      </x:top>
    </x:border>
    <x:border>
      <x:left style="thin">
        <x:color rgb="FFDED6D0"/>
      </x:left>
    </x:border>
    <x:border>
      <x:right style="thin">
        <x:color rgb="FFDED6D0"/>
      </x:right>
    </x:border>
    <x:border>
      <x:left style="thin">
        <x:color rgb="FFDED6D0"/>
      </x:left>
      <x:bottom style="thin">
        <x:color rgb="FFDED6D0"/>
      </x:bottom>
    </x:border>
    <x:border>
      <x:bottom style="thin">
        <x:color rgb="FFDED6D0"/>
      </x:bottom>
    </x:border>
    <x:border>
      <x:right style="thin">
        <x:color rgb="FFDED6D0"/>
      </x:right>
      <x:bottom style="thin">
        <x:color rgb="FFDED6D0"/>
      </x:bottom>
    </x:border>
    <x:border>
      <x:left style="thin">
        <x:color rgb="FFDED6D0"/>
      </x:left>
      <x:top style="thin">
        <x:color rgb="FFDED6D0"/>
      </x:top>
    </x:border>
    <x:border>
      <x:top style="thin">
        <x:color rgb="FFDED6D0"/>
      </x:top>
    </x:border>
    <x:border>
      <x:right style="thin">
        <x:color rgb="FFDED6D0"/>
      </x:right>
      <x:top style="thin">
        <x:color rgb="FFDED6D0"/>
      </x:top>
    </x:border>
    <x:border>
      <x:left style="thin">
        <x:color rgb="FFDED6D0"/>
      </x:left>
    </x:border>
    <x:border>
      <x:right style="thin">
        <x:color rgb="FFDED6D0"/>
      </x:right>
    </x:border>
    <x:border>
      <x:left style="thin">
        <x:color rgb="FFDED6D0"/>
      </x:left>
      <x:bottom style="thin">
        <x:color rgb="FFDED6D0"/>
      </x:bottom>
    </x:border>
    <x:border>
      <x:bottom style="thin">
        <x:color rgb="FFDED6D0"/>
      </x:bottom>
    </x:border>
    <x:border>
      <x:right style="thin">
        <x:color rgb="FFDED6D0"/>
      </x:right>
      <x:bottom style="thin">
        <x:color rgb="FFDED6D0"/>
      </x:bottom>
    </x:border>
  </x:borders>
  <x:cellStyleXfs count="1">
    <x:xf numFmtId="0" fontId="0" fillId="0" borderId="0"/>
  </x:cellStyleXfs>
  <x:cellXfs count="11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2" fillId="3" borderId="14" xfId="0" applyNumberFormat="1" applyFont="1" applyFill="1" applyBorder="1"/>
    <x:xf numFmtId="0" fontId="2" fillId="3" borderId="15" xfId="0" applyNumberFormat="1" applyFont="1" applyFill="1" applyBorder="1"/>
    <x:xf numFmtId="0" fontId="2" fillId="3" borderId="16" xfId="0" applyNumberFormat="1" applyFont="1" applyFill="1" applyBorder="1"/>
    <x:xf numFmtId="0" fontId="2" fillId="3" borderId="14" xfId="0" applyNumberFormat="1" applyFont="1" applyFill="1" applyBorder="1" applyAlignment="1">
      <x:alignment wrapText="1"/>
    </x:xf>
    <x:xf numFmtId="0" fontId="2" fillId="3" borderId="15" xfId="0" applyNumberFormat="1" applyFont="1" applyFill="1" applyBorder="1" applyAlignment="1">
      <x:alignment wrapText="1"/>
    </x:xf>
    <x:xf numFmtId="0" fontId="2" fillId="3" borderId="16" xfId="0" applyNumberFormat="1" applyFont="1" applyFill="1" applyBorder="1" applyAlignment="1">
      <x:alignment wrapText="1"/>
    </x:xf>
    <x:xf numFmtId="0" fontId="2" fillId="3" borderId="14" xfId="0" applyNumberFormat="1" applyFont="1" applyFill="1" applyBorder="1" applyAlignment="1">
      <x:alignment wrapText="1"/>
    </x:xf>
    <x:xf numFmtId="0" fontId="2" fillId="3" borderId="15" xfId="0" applyNumberFormat="1" applyFont="1" applyFill="1" applyBorder="1" applyAlignment="1">
      <x:alignment wrapText="1"/>
    </x:xf>
    <x:xf numFmtId="0" fontId="2" fillId="3" borderId="16" xfId="0" applyNumberFormat="1" applyFont="1" applyFill="1" applyBorder="1" applyAlignment="1">
      <x:alignment wrapText="1"/>
    </x:xf>
    <x:xf numFmtId="0" fontId="2" fillId="3" borderId="14" xfId="0" applyNumberFormat="1" applyFont="1" applyFill="1" applyBorder="1" applyAlignment="1">
      <x:alignment wrapText="1"/>
    </x:xf>
    <x:xf numFmtId="0" fontId="2" fillId="3" borderId="15" xfId="0" applyNumberFormat="1" applyFont="1" applyFill="1" applyBorder="1" applyAlignment="1">
      <x:alignment wrapText="1"/>
    </x:xf>
    <x:xf numFmtId="0" fontId="2" fillId="3" borderId="16" xfId="0" applyNumberFormat="1" applyFont="1" applyFill="1" applyBorder="1" applyAlignment="1">
      <x:alignment wrapText="1"/>
    </x:xf>
    <x:xf numFmtId="0" fontId="2" fillId="3" borderId="17" xfId="0" applyNumberFormat="1" applyFont="1" applyFill="1" applyBorder="1"/>
    <x:xf numFmtId="0" fontId="2" fillId="3" borderId="18" xfId="0" applyNumberFormat="1" applyFont="1" applyFill="1" applyBorder="1"/>
    <x:xf numFmtId="0" fontId="2" fillId="3" borderId="19" xfId="0" applyNumberFormat="1" applyFont="1" applyFill="1" applyBorder="1"/>
    <x:xf numFmtId="0" fontId="2" fillId="3" borderId="17" xfId="0" applyNumberFormat="1" applyFont="1" applyFill="1" applyBorder="1" applyAlignment="1">
      <x:alignment wrapText="1"/>
    </x:xf>
    <x:xf numFmtId="0" fontId="2" fillId="3" borderId="18"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7" xfId="0" applyNumberFormat="1" applyFont="1" applyFill="1" applyBorder="1" applyAlignment="1">
      <x:alignment wrapText="1"/>
    </x:xf>
    <x:xf numFmtId="0" fontId="2" fillId="3" borderId="18"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7" xfId="0" applyNumberFormat="1" applyFont="1" applyFill="1" applyBorder="1" applyAlignment="1">
      <x:alignment wrapText="1"/>
    </x:xf>
    <x:xf numFmtId="0" fontId="2" fillId="3" borderId="18" xfId="0" applyNumberFormat="1" applyFont="1" applyFill="1" applyBorder="1" applyAlignment="1">
      <x:alignment wrapText="1"/>
    </x:xf>
    <x:xf numFmtId="0" fontId="2" fillId="3" borderId="19" xfId="0" applyNumberFormat="1" applyFont="1" applyFill="1" applyBorder="1" applyAlignment="1">
      <x:alignment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0" borderId="24" xfId="0" applyNumberFormat="1" applyFont="1" applyFill="1" applyBorder="1" applyAlignment="1">
      <x:alignment vertical="top" wrapText="1"/>
    </x:xf>
    <x:xf numFmtId="0" fontId="0" fillId="0" borderId="25" xfId="0" applyNumberFormat="1" applyFont="1" applyFill="1" applyBorder="1" applyAlignment="1">
      <x:alignment vertical="top" wrapText="1"/>
    </x:xf>
    <x:xf numFmtId="0" fontId="0" fillId="0" borderId="26" xfId="0" applyNumberFormat="1" applyFont="1" applyFill="1" applyBorder="1" applyAlignment="1">
      <x:alignment vertical="top" wrapText="1"/>
    </x:xf>
    <x:xf numFmtId="0" fontId="0" fillId="0" borderId="27" xfId="0" applyNumberFormat="1" applyFont="1" applyFill="1" applyBorder="1" applyAlignment="1">
      <x:alignment vertical="top" wrapText="1"/>
    </x:xf>
    <x:xf numFmtId="0" fontId="0" fillId="0" borderId="28" xfId="0" applyNumberFormat="1" applyFont="1" applyFill="1" applyBorder="1" applyAlignment="1">
      <x:alignment vertical="top" wrapText="1"/>
    </x:xf>
    <x:xf numFmtId="0" fontId="0" fillId="0" borderId="29" xfId="0" applyNumberFormat="1" applyFont="1" applyFill="1" applyBorder="1" applyAlignment="1">
      <x:alignment vertical="top" wrapText="1"/>
    </x:xf>
    <x:xf numFmtId="0" fontId="0" fillId="0" borderId="30" xfId="0" applyNumberFormat="1" applyFont="1" applyFill="1" applyBorder="1" applyAlignment="1">
      <x:alignment vertical="top" wrapText="1"/>
    </x:xf>
    <x:xf numFmtId="0" fontId="0" fillId="0" borderId="31" xfId="0" applyNumberFormat="1" applyFont="1" applyFill="1" applyBorder="1" applyAlignment="1">
      <x:alignment vertical="top" wrapText="1"/>
    </x:xf>
    <x:xf numFmtId="0" fontId="0" fillId="0" borderId="32" xfId="0" applyNumberFormat="1" applyFont="1" applyFill="1" applyBorder="1" applyAlignment="1">
      <x:alignment vertical="top" wrapText="1"/>
    </x:xf>
    <x:xf numFmtId="0" fontId="0" fillId="0" borderId="33" xfId="0" applyNumberFormat="1" applyFont="1" applyFill="1" applyBorder="1" applyAlignment="1">
      <x:alignment vertical="top" wrapText="1"/>
    </x:xf>
    <x:xf numFmtId="0" fontId="0" fillId="0" borderId="34" xfId="0" applyNumberFormat="1" applyFont="1" applyFill="1" applyBorder="1" applyAlignment="1">
      <x:alignment vertical="top" wrapText="1"/>
    </x:xf>
    <x:xf numFmtId="0" fontId="0" fillId="0" borderId="35"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5" borderId="1" xfId="0" applyNumberFormat="1" applyFont="1" applyFill="1" applyBorder="1"/>
    <x:xf numFmtId="0" fontId="0" fillId="5" borderId="1" xfId="0" applyNumberFormat="1" applyFont="1" applyFill="1" applyBorder="1" applyAlignment="1">
      <x:alignment wrapText="1"/>
    </x:xf>
    <x:xf numFmtId="0" fontId="0" fillId="5" borderId="1" xfId="0" applyNumberFormat="1" applyFont="1" applyFill="1" applyBorder="1" applyAlignment="1">
      <x:alignment vertical="top" wrapText="1"/>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0" fillId="0" borderId="0" xfId="0" applyNumberFormat="1" applyFont="1" applyFill="1" applyBorder="1"/>
    <x:xf numFmtId="0" fontId="1" fillId="7" borderId="0" xfId="0" applyNumberFormat="1" applyFont="1" applyFill="1" applyBorder="1" applyAlignment="1">
      <x:alignment wrapText="1"/>
    </x:xf>
    <x:xf numFmtId="0" fontId="2" fillId="8" borderId="2" xfId="0" applyNumberFormat="1" applyFont="1" applyFill="1" applyBorder="1" applyAlignment="1">
      <x:alignment wrapText="1"/>
    </x:xf>
    <x:xf numFmtId="0" fontId="5" fillId="8" borderId="2" xfId="0" applyNumberFormat="1" applyFont="1" applyFill="1" applyBorder="1" applyAlignment="1">
      <x:alignment wrapText="1"/>
    </x:xf>
    <x:xf numFmtId="0" fontId="2" fillId="8" borderId="3" xfId="0" applyNumberFormat="1" applyFont="1" applyFill="1" applyBorder="1" applyAlignment="1">
      <x:alignment wrapText="1"/>
    </x:xf>
    <x:xf numFmtId="0" fontId="5" fillId="8" borderId="3" xfId="0" applyNumberFormat="1" applyFont="1" applyFill="1" applyBorder="1" applyAlignment="1">
      <x:alignment wrapText="1"/>
    </x:xf>
    <x:xf numFmtId="0" fontId="2" fillId="8" borderId="4" xfId="0" applyNumberFormat="1" applyFont="1" applyFill="1" applyBorder="1" applyAlignment="1">
      <x:alignment wrapText="1"/>
    </x:xf>
    <x:xf numFmtId="0" fontId="5" fillId="8" borderId="4" xfId="0" applyNumberFormat="1" applyFont="1" applyFill="1" applyBorder="1" applyAlignment="1">
      <x:alignment wrapText="1"/>
    </x:xf>
    <x:xf numFmtId="0" fontId="2" fillId="8" borderId="14" xfId="0" applyNumberFormat="1" applyFont="1" applyFill="1" applyBorder="1" applyAlignment="1">
      <x:alignment wrapText="1"/>
    </x:xf>
    <x:xf numFmtId="0" fontId="2" fillId="8" borderId="15" xfId="0" applyNumberFormat="1" applyFont="1" applyFill="1" applyBorder="1" applyAlignment="1">
      <x:alignment wrapText="1"/>
    </x:xf>
    <x:xf numFmtId="0" fontId="2" fillId="8" borderId="16" xfId="0" applyNumberFormat="1" applyFont="1" applyFill="1" applyBorder="1" applyAlignment="1">
      <x:alignment wrapText="1"/>
    </x:xf>
    <x:xf numFmtId="0" fontId="5" fillId="8" borderId="14" xfId="0" applyNumberFormat="1" applyFont="1" applyFill="1" applyBorder="1" applyAlignment="1">
      <x:alignment wrapText="1"/>
    </x:xf>
    <x:xf numFmtId="0" fontId="5" fillId="8" borderId="15" xfId="0" applyNumberFormat="1" applyFont="1" applyFill="1" applyBorder="1" applyAlignment="1">
      <x:alignment wrapText="1"/>
    </x:xf>
    <x:xf numFmtId="0" fontId="5" fillId="8" borderId="16" xfId="0" applyNumberFormat="1" applyFont="1" applyFill="1" applyBorder="1" applyAlignment="1">
      <x:alignment wrapText="1"/>
    </x:xf>
    <x:xf numFmtId="0" fontId="3" fillId="7" borderId="0" xfId="0" applyNumberFormat="1" applyFont="1" applyFill="1" applyBorder="1"/>
    <x:xf numFmtId="0" fontId="0" fillId="8" borderId="0" xfId="0" applyNumberFormat="1" applyFont="1" applyFill="1" applyBorder="1" applyAlignment="1">
      <x:alignment vertical="top" wrapText="1"/>
    </x:xf>
    <x:xf numFmtId="0" fontId="4" fillId="8"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10c439c0a5b470b" /><Relationship Type="http://schemas.openxmlformats.org/officeDocument/2006/relationships/theme" Target="/xl/theme/theme1.xml" Id="R9440c9010af5432b" /><Relationship Type="http://schemas.openxmlformats.org/officeDocument/2006/relationships/sharedStrings" Target="/xl/sharedStrings.xml" Id="Re49062d379c84ac2" /><Relationship Type="http://schemas.openxmlformats.org/officeDocument/2006/relationships/worksheet" Target="/xl/worksheets/sheet1.xml" Id="R3696d1617dbd41ab" /><Relationship Type="http://schemas.openxmlformats.org/officeDocument/2006/relationships/worksheet" Target="/xl/worksheets/sheet2.xml" Id="R4245c1accfa94f93" /><Relationship Type="http://schemas.openxmlformats.org/officeDocument/2006/relationships/worksheet" Target="/xl/worksheets/sheet3.xml" Id="R6ae64b59331b40fb" /><Relationship Type="http://schemas.openxmlformats.org/officeDocument/2006/relationships/worksheet" Target="/xl/worksheets/sheet4.xml" Id="R0d842ff1ec914a75" /></Relationships>
</file>

<file path=xl/theme/theme1.xml><?xml version="1.0" encoding="utf-8"?>
<a:theme xmlns:a="http://schemas.openxmlformats.org/drawingml/2006/main" name="AcademicResourceTheme">
  <a:themeElements>
    <a:clrScheme name="AcademicResourceThem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AcademicResourceThem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85" hidden="0" customWidth="1"/>
  </x:cols>
  <x:sheetData>
    <x:row r="1">
      <x:c r="A1" s="102" t="str">
        <x:v>Patient-Facing Chatbot Institutional-Risk Review</x:v>
      </x:c>
      <x:c r="B1" s="102"/>
      <x:c r="C1" s="102"/>
      <x:c r="D1" s="102"/>
      <x:c r="E1" s="102"/>
      <x:c r="F1" s="102"/>
    </x:row>
    <x:row r="2">
      <x:c r="A2" s="102"/>
      <x:c r="B2" s="102"/>
      <x:c r="C2" s="102"/>
      <x:c r="D2" s="102"/>
      <x:c r="E2" s="102"/>
      <x:c r="F2" s="102"/>
    </x:row>
    <x:row r="4">
      <x:c r="A4" s="104" t="str">
        <x:v>Example ID</x:v>
      </x:c>
      <x:c r="B4" s="42" t="str">
        <x:v>AIHE-CASE10</x:v>
      </x:c>
    </x:row>
    <x:row r="5">
      <x:c r="A5" s="106" t="str">
        <x:v>Chapter</x:v>
      </x:c>
      <x:c r="B5" s="43" t="str">
        <x:v>10: Governance, Accountability, and Institutional Risk</x:v>
      </x:c>
    </x:row>
    <x:row r="6">
      <x:c r="A6" s="106" t="str">
        <x:v>Decision question</x:v>
      </x:c>
      <x:c r="B6" s="43" t="str">
        <x:v>Which uses can be permitted when convenience and call reduction coexist with privacy, safety, equity, and communication risks?</x:v>
      </x:c>
    </x:row>
    <x:row r="7">
      <x:c r="A7" s="106" t="str">
        <x:v>Status</x:v>
      </x:c>
      <x:c r="B7" s="43" t="str">
        <x:v>Synthetic demonstration only</x:v>
      </x:c>
    </x:row>
    <x:row r="8">
      <x:c r="A8" s="106" t="str">
        <x:v>Version</x:v>
      </x:c>
      <x:c r="B8" s="43" t="str">
        <x:v>V1.0</x:v>
      </x:c>
    </x:row>
    <x:row r="9">
      <x:c r="A9" s="106" t="str">
        <x:v>Release date</x:v>
      </x:c>
      <x:c r="B9" s="43" t="str">
        <x:v>2026-08-06</x:v>
      </x:c>
    </x:row>
    <x:row r="10">
      <x:c r="A10" s="106" t="str">
        <x:v>How to use</x:v>
      </x:c>
      <x:c r="B10" s="43" t="str">
        <x:v>Review Worked Inputs and Calculations; compare with Decision Summary; use Blank Template for local adaptation.</x:v>
      </x:c>
    </x:row>
    <x:row r="11">
      <x:c r="A11" s="106" t="str">
        <x:v>Related resources</x:v>
      </x:c>
      <x:c r="B11" s="43" t="str">
        <x:v>AIHE-C03, AIHE-C, AIHE-AB, AIHE-AC, AIHE-C05, AIHE-EX13</x:v>
      </x:c>
    </x:row>
    <x:row r="12">
      <x:c r="A12" s="108" t="str">
        <x:v>Data protection</x:v>
      </x:c>
      <x:c r="B12" s="44" t="str">
        <x:v>Do not enter identifiable patient information, credentials, private keys, or confidential contract information into uncontrolled copies.</x:v>
      </x:c>
    </x:row>
  </x:sheetData>
  <x:mergeCells>
    <x:mergeCell ref="A1:F2"/>
  </x:mergeCells>
  <x:pageMargins left="0.7" right="0.7" top="0.75" bottom="0.75" header="0.3" footer="0.3"/>
</x:worksheet>
</file>

<file path=xl/worksheets/sheet2.xml><?xml version="1.0" encoding="utf-8"?>
<x:worksheet xmlns:x="http://schemas.openxmlformats.org/spreadsheetml/2006/main">
  <x:sheetFormatPr defaultRowHeight="15"/>
  <x:cols>
    <x:col min="1" max="1" width="32" hidden="0" customWidth="1"/>
    <x:col min="2" max="2" width="20" hidden="0" customWidth="1"/>
    <x:col min="3" max="3" width="20" hidden="0" customWidth="1"/>
    <x:col min="4" max="4" width="20" hidden="0" customWidth="1"/>
    <x:col min="5" max="5" width="20" hidden="0" customWidth="1"/>
    <x:col min="6" max="6" width="16" hidden="0" customWidth="1"/>
    <x:col min="7" max="7" width="16" hidden="0" customWidth="1"/>
    <x:col min="8" max="8" width="28" hidden="0" customWidth="1"/>
    <x:col min="10" max="10" width="28" hidden="0" customWidth="1"/>
    <x:col min="11" max="11" width="42" hidden="0" customWidth="1"/>
  </x:cols>
  <x:sheetData>
    <x:row r="1">
      <x:c r="A1" s="102" t="str">
        <x:v>Worked synthetic inputs and calculations</x:v>
      </x:c>
      <x:c r="B1" s="102"/>
      <x:c r="C1" s="102"/>
      <x:c r="D1" s="102"/>
      <x:c r="E1" s="102"/>
      <x:c r="F1" s="102"/>
      <x:c r="G1" s="102"/>
      <x:c r="H1" s="102"/>
      <x:c r="I1" s="102"/>
      <x:c r="J1" s="102"/>
    </x:row>
    <x:row r="3">
      <x:c r="A3" s="112" t="str">
        <x:v>Risk</x:v>
      </x:c>
      <x:c r="B3" s="113" t="str">
        <x:v>Likelihood</x:v>
      </x:c>
      <x:c r="C3" s="113" t="str">
        <x:v>Impact</x:v>
      </x:c>
      <x:c r="D3" s="113" t="str">
        <x:v>Control effectiveness</x:v>
      </x:c>
      <x:c r="E3" s="114" t="str">
        <x:v>Mandatory concern</x:v>
      </x:c>
      <x:c r="F3" s="112" t="str">
        <x:v>Inherent risk</x:v>
      </x:c>
      <x:c r="G3" s="113" t="str">
        <x:v>Residual risk</x:v>
      </x:c>
      <x:c r="H3" s="114" t="str">
        <x:v>Mandatory residual concern</x:v>
      </x:c>
      <x:c r="J3" s="112" t="str">
        <x:v>Summary</x:v>
      </x:c>
      <x:c r="K3" s="114" t="str">
        <x:v>Formula result</x:v>
      </x:c>
    </x:row>
    <x:row r="4">
      <x:c r="A4" s="72" t="str">
        <x:v>Unsupported clinical advice</x:v>
      </x:c>
      <x:c r="B4" s="73" t="n">
        <x:v>4</x:v>
      </x:c>
      <x:c r="C4" s="73" t="n">
        <x:v>5</x:v>
      </x:c>
      <x:c r="D4" s="73" t="n">
        <x:v>0.55</x:v>
      </x:c>
      <x:c r="E4" s="74" t="str">
        <x:v>Yes</x:v>
      </x:c>
      <x:c r="F4" s="72" t="n">
        <x:f>B4*C4</x:f>
        <x:v>20</x:v>
      </x:c>
      <x:c r="G4" s="73" t="n">
        <x:f>F4*(1-D4)</x:f>
        <x:v>9</x:v>
      </x:c>
      <x:c r="H4" s="74" t="str">
        <x:f>IF(AND(E4="Yes",G4&gt;=6),"FAIL","")</x:f>
        <x:v>FAIL</x:v>
      </x:c>
      <x:c r="J4" s="72" t="str">
        <x:v>Mandatory residual concerns</x:v>
      </x:c>
      <x:c r="K4" s="74" t="n">
        <x:f>COUNTIF(H4:H10,"FAIL")</x:f>
        <x:v>6</x:v>
      </x:c>
    </x:row>
    <x:row r="5">
      <x:c r="A5" s="75" t="str">
        <x:v>Prompt injection or malicious content</x:v>
      </x:c>
      <x:c r="B5" s="40" t="n">
        <x:v>3</x:v>
      </x:c>
      <x:c r="C5" s="40" t="n">
        <x:v>4</x:v>
      </x:c>
      <x:c r="D5" s="40" t="n">
        <x:v>0.5</x:v>
      </x:c>
      <x:c r="E5" s="76" t="str">
        <x:v>Yes</x:v>
      </x:c>
      <x:c r="F5" s="75" t="n">
        <x:f>B5*C5</x:f>
        <x:v>12</x:v>
      </x:c>
      <x:c r="G5" s="40" t="n">
        <x:f>F5*(1-D5)</x:f>
        <x:v>6</x:v>
      </x:c>
      <x:c r="H5" s="76" t="str">
        <x:f>IF(AND(E5="Yes",G5&gt;=6),"FAIL","")</x:f>
        <x:v>FAIL</x:v>
      </x:c>
      <x:c r="J5" s="77" t="str">
        <x:v>Decision</x:v>
      </x:c>
      <x:c r="K5" s="79" t="str">
        <x:f>IF(K4&gt;0,"Restrict to bounded administrative use","Proceed within approved controls")</x:f>
        <x:v>Restrict to bounded administrative use</x:v>
      </x:c>
    </x:row>
    <x:row r="6">
      <x:c r="A6" s="75" t="str">
        <x:v>Disclosure of sensitive information</x:v>
      </x:c>
      <x:c r="B6" s="40" t="n">
        <x:v>3</x:v>
      </x:c>
      <x:c r="C6" s="40" t="n">
        <x:v>5</x:v>
      </x:c>
      <x:c r="D6" s="40" t="n">
        <x:v>0.6</x:v>
      </x:c>
      <x:c r="E6" s="76" t="str">
        <x:v>Yes</x:v>
      </x:c>
      <x:c r="F6" s="75" t="n">
        <x:f>B6*C6</x:f>
        <x:v>15</x:v>
      </x:c>
      <x:c r="G6" s="40" t="n">
        <x:f>F6*(1-D6)</x:f>
        <x:v>6</x:v>
      </x:c>
      <x:c r="H6" s="76" t="str">
        <x:f>IF(AND(E6="Yes",G6&gt;=6),"FAIL","")</x:f>
        <x:v>FAIL</x:v>
      </x:c>
    </x:row>
    <x:row r="7">
      <x:c r="A7" s="75" t="str">
        <x:v>Digital exclusion and language inequity</x:v>
      </x:c>
      <x:c r="B7" s="40" t="n">
        <x:v>4</x:v>
      </x:c>
      <x:c r="C7" s="40" t="n">
        <x:v>4</x:v>
      </x:c>
      <x:c r="D7" s="40" t="n">
        <x:v>0.45</x:v>
      </x:c>
      <x:c r="E7" s="76" t="str">
        <x:v>Yes</x:v>
      </x:c>
      <x:c r="F7" s="75" t="n">
        <x:f>B7*C7</x:f>
        <x:v>16</x:v>
      </x:c>
      <x:c r="G7" s="40" t="n">
        <x:f>F7*(1-D7)</x:f>
        <x:v>8.8</x:v>
      </x:c>
      <x:c r="H7" s="76" t="str">
        <x:f>IF(AND(E7="Yes",G7&gt;=6),"FAIL","")</x:f>
        <x:v>FAIL</x:v>
      </x:c>
    </x:row>
    <x:row r="8">
      <x:c r="A8" s="75" t="str">
        <x:v>Failure to escalate urgent symptoms</x:v>
      </x:c>
      <x:c r="B8" s="40" t="n">
        <x:v>3</x:v>
      </x:c>
      <x:c r="C8" s="40" t="n">
        <x:v>5</x:v>
      </x:c>
      <x:c r="D8" s="40" t="n">
        <x:v>0.5</x:v>
      </x:c>
      <x:c r="E8" s="76" t="str">
        <x:v>Yes</x:v>
      </x:c>
      <x:c r="F8" s="75" t="n">
        <x:f>B8*C8</x:f>
        <x:v>15</x:v>
      </x:c>
      <x:c r="G8" s="40" t="n">
        <x:f>F8*(1-D8)</x:f>
        <x:v>7.5</x:v>
      </x:c>
      <x:c r="H8" s="76" t="str">
        <x:f>IF(AND(E8="Yes",G8&gt;=6),"FAIL","")</x:f>
        <x:v>FAIL</x:v>
      </x:c>
    </x:row>
    <x:row r="9">
      <x:c r="A9" s="75" t="str">
        <x:v>Inaccurate administrative information</x:v>
      </x:c>
      <x:c r="B9" s="40" t="n">
        <x:v>3</x:v>
      </x:c>
      <x:c r="C9" s="40" t="n">
        <x:v>3</x:v>
      </x:c>
      <x:c r="D9" s="40" t="n">
        <x:v>0.7</x:v>
      </x:c>
      <x:c r="E9" s="76" t="str">
        <x:v>No</x:v>
      </x:c>
      <x:c r="F9" s="75" t="n">
        <x:f>B9*C9</x:f>
        <x:v>9</x:v>
      </x:c>
      <x:c r="G9" s="40" t="n">
        <x:f>F9*(1-D9)</x:f>
        <x:v>2.7</x:v>
      </x:c>
      <x:c r="H9" s="76" t="str">
        <x:f>IF(AND(E9="Yes",G9&gt;=6),"FAIL","")</x:f>
      </x:c>
    </x:row>
    <x:row r="10">
      <x:c r="A10" s="77" t="str">
        <x:v>Unclear responsibility after an incident</x:v>
      </x:c>
      <x:c r="B10" s="78" t="n">
        <x:v>3</x:v>
      </x:c>
      <x:c r="C10" s="78" t="n">
        <x:v>4</x:v>
      </x:c>
      <x:c r="D10" s="78" t="n">
        <x:v>0.4</x:v>
      </x:c>
      <x:c r="E10" s="79" t="str">
        <x:v>Yes</x:v>
      </x:c>
      <x:c r="F10" s="77" t="n">
        <x:f>B10*C10</x:f>
        <x:v>12</x:v>
      </x:c>
      <x:c r="G10" s="78" t="n">
        <x:f>F10*(1-D10)</x:f>
        <x:v>7.199999999999999</x:v>
      </x:c>
      <x:c r="H10" s="79" t="str">
        <x:f>IF(AND(E10="Yes",G10&gt;=6),"FAIL","")</x:f>
        <x:v>FAIL</x:v>
      </x:c>
    </x:row>
  </x:sheetData>
  <x:mergeCells>
    <x:mergeCell ref="A1:J1"/>
  </x:mergeCells>
  <x:pageMargins left="0.7" right="0.7" top="0.75" bottom="0.75" header="0.3" footer="0.3"/>
</x:worksheet>
</file>

<file path=xl/worksheets/sheet3.xml><?xml version="1.0" encoding="utf-8"?>
<x:worksheet xmlns:x="http://schemas.openxmlformats.org/spreadsheetml/2006/main">
  <x:sheetFormatPr defaultRowHeight="15"/>
  <x:cols>
    <x:col min="1" max="1" width="32" hidden="0" customWidth="1"/>
    <x:col min="2" max="2" width="22" hidden="0" customWidth="1"/>
    <x:col min="3" max="3" width="22" hidden="0" customWidth="1"/>
    <x:col min="4" max="4" width="22" hidden="0" customWidth="1"/>
    <x:col min="5" max="5" width="22" hidden="0" customWidth="1"/>
  </x:cols>
  <x:sheetData>
    <x:row r="1">
      <x:c r="A1" s="102" t="str">
        <x:v>Blank template - replace synthetic values with governed local evidence</x:v>
      </x:c>
      <x:c r="B1" s="102"/>
      <x:c r="C1" s="102"/>
      <x:c r="D1" s="102"/>
      <x:c r="E1" s="102"/>
    </x:row>
    <x:row r="3">
      <x:c r="A3" s="112" t="str">
        <x:v>Risk</x:v>
      </x:c>
      <x:c r="B3" s="113" t="str">
        <x:v>Likelihood</x:v>
      </x:c>
      <x:c r="C3" s="113" t="str">
        <x:v>Impact</x:v>
      </x:c>
      <x:c r="D3" s="113" t="str">
        <x:v>Control effectiveness</x:v>
      </x:c>
      <x:c r="E3" s="114" t="str">
        <x:v>Mandatory concern</x:v>
      </x:c>
    </x:row>
    <x:row r="4">
      <x:c r="A4" s="72" t="str">
        <x:v>Unsupported clinical advice</x:v>
      </x:c>
      <x:c r="B4" s="73" t="str"/>
      <x:c r="C4" s="73" t="str"/>
      <x:c r="D4" s="73" t="str"/>
      <x:c r="E4" s="74" t="str">
        <x:v>Yes</x:v>
      </x:c>
    </x:row>
    <x:row r="5">
      <x:c r="A5" s="75" t="str">
        <x:v>Prompt injection or malicious content</x:v>
      </x:c>
      <x:c r="B5" s="40" t="str"/>
      <x:c r="C5" s="40" t="str"/>
      <x:c r="D5" s="40" t="str"/>
      <x:c r="E5" s="76" t="str">
        <x:v>Yes</x:v>
      </x:c>
    </x:row>
    <x:row r="6">
      <x:c r="A6" s="75" t="str">
        <x:v>Disclosure of sensitive information</x:v>
      </x:c>
      <x:c r="B6" s="40" t="str"/>
      <x:c r="C6" s="40" t="str"/>
      <x:c r="D6" s="40" t="str"/>
      <x:c r="E6" s="76" t="str">
        <x:v>Yes</x:v>
      </x:c>
    </x:row>
    <x:row r="7">
      <x:c r="A7" s="75" t="str">
        <x:v>Digital exclusion and language inequity</x:v>
      </x:c>
      <x:c r="B7" s="40" t="str"/>
      <x:c r="C7" s="40" t="str"/>
      <x:c r="D7" s="40" t="str"/>
      <x:c r="E7" s="76" t="str">
        <x:v>Yes</x:v>
      </x:c>
    </x:row>
    <x:row r="8">
      <x:c r="A8" s="75" t="str">
        <x:v>Failure to escalate urgent symptoms</x:v>
      </x:c>
      <x:c r="B8" s="40" t="str"/>
      <x:c r="C8" s="40" t="str"/>
      <x:c r="D8" s="40" t="str"/>
      <x:c r="E8" s="76" t="str">
        <x:v>Yes</x:v>
      </x:c>
    </x:row>
    <x:row r="9">
      <x:c r="A9" s="75" t="str">
        <x:v>Inaccurate administrative information</x:v>
      </x:c>
      <x:c r="B9" s="40" t="str"/>
      <x:c r="C9" s="40" t="str"/>
      <x:c r="D9" s="40" t="str"/>
      <x:c r="E9" s="76" t="str">
        <x:v>No</x:v>
      </x:c>
    </x:row>
    <x:row r="10">
      <x:c r="A10" s="77" t="str">
        <x:v>Unclear responsibility after an incident</x:v>
      </x:c>
      <x:c r="B10" s="78" t="str"/>
      <x:c r="C10" s="78" t="str"/>
      <x:c r="D10" s="78" t="str"/>
      <x:c r="E10" s="79" t="str">
        <x:v>Yes</x:v>
      </x:c>
    </x:row>
  </x:sheetData>
  <x:mergeCells>
    <x:mergeCell ref="A1:E1"/>
  </x:mergeCells>
  <x:pageMargins left="0.7" right="0.7" top="0.75" bottom="0.75" header="0.3" footer="0.3"/>
</x:worksheet>
</file>

<file path=xl/worksheets/sheet4.xml><?xml version="1.0" encoding="utf-8"?>
<x:worksheet xmlns:x="http://schemas.openxmlformats.org/spreadsheetml/2006/main">
  <x:sheetFormatPr defaultRowHeight="15"/>
  <x:cols>
    <x:col min="1" max="1" width="32" hidden="0" customWidth="1"/>
    <x:col min="2" max="2" width="38" hidden="0" customWidth="1"/>
    <x:col min="3" max="3" width="18" hidden="0" customWidth="1"/>
    <x:col min="4" max="4" width="18" hidden="0" customWidth="1"/>
    <x:col min="5" max="5" width="18" hidden="0" customWidth="1"/>
    <x:col min="6" max="6" width="18" hidden="0" customWidth="1"/>
  </x:cols>
  <x:sheetData>
    <x:row r="1">
      <x:c r="A1" s="102" t="str">
        <x:v>Patient-Facing Chatbot Institutional-Risk Review</x:v>
      </x:c>
      <x:c r="B1" s="102"/>
      <x:c r="C1" s="102"/>
      <x:c r="D1" s="102"/>
      <x:c r="E1" s="102"/>
      <x:c r="F1" s="102"/>
    </x:row>
    <x:row r="2">
      <x:c r="A2" s="102"/>
      <x:c r="B2" s="102"/>
      <x:c r="C2" s="102"/>
      <x:c r="D2" s="102"/>
      <x:c r="E2" s="102"/>
      <x:c r="F2" s="102"/>
    </x:row>
    <x:row r="4">
      <x:c r="A4" s="112" t="str">
        <x:v>Reference metric</x:v>
      </x:c>
      <x:c r="B4" s="114" t="str">
        <x:v>Synthetic result</x:v>
      </x:c>
    </x:row>
    <x:row r="5">
      <x:c r="A5" s="72" t="str">
        <x:v>Permitted scope</x:v>
      </x:c>
      <x:c r="B5" s="74" t="str">
        <x:v>Bounded administrative functions only</x:v>
      </x:c>
    </x:row>
    <x:row r="6">
      <x:c r="A6" s="77" t="str">
        <x:v>Required conditions</x:v>
      </x:c>
      <x:c r="B6" s="79" t="str">
        <x:v>Human escalation, accessible alternatives, minimum data, monitoring</x:v>
      </x:c>
    </x:row>
    <x:row r="8">
      <x:c r="A8" s="115" t="str">
        <x:v>Worked interpretation</x:v>
      </x:c>
      <x:c r="B8" s="115"/>
      <x:c r="C8" s="115"/>
      <x:c r="D8" s="115"/>
      <x:c r="E8" s="115"/>
      <x:c r="F8" s="115"/>
    </x:row>
    <x:row r="9">
      <x:c r="A9" s="116" t="str">
        <x:v>The review does not support unrestricted symptom navigation. Several mandatory concerns remain high, especially unsupported advice, escalation failure, and digital exclusion. The chatbot may be piloted for bounded administrative functions using approved content, disclosure, rapid human escalation, accessible alternatives, minimum data collection, and continuous monitoring.</x:v>
      </x:c>
      <x:c r="B9" s="116"/>
      <x:c r="C9" s="116"/>
      <x:c r="D9" s="116"/>
      <x:c r="E9" s="116"/>
      <x:c r="F9" s="116"/>
    </x:row>
    <x:row r="10">
      <x:c r="A10" s="116"/>
      <x:c r="B10" s="116"/>
      <x:c r="C10" s="116"/>
      <x:c r="D10" s="116"/>
      <x:c r="E10" s="116"/>
      <x:c r="F10" s="116"/>
    </x:row>
    <x:row r="11">
      <x:c r="A11" s="116"/>
      <x:c r="B11" s="116"/>
      <x:c r="C11" s="116"/>
      <x:c r="D11" s="116"/>
      <x:c r="E11" s="116"/>
      <x:c r="F11" s="116"/>
    </x:row>
    <x:row r="12">
      <x:c r="A12" s="116"/>
      <x:c r="B12" s="116"/>
      <x:c r="C12" s="116"/>
      <x:c r="D12" s="116"/>
      <x:c r="E12" s="116"/>
      <x:c r="F12" s="116"/>
    </x:row>
    <x:row r="13">
      <x:c r="A13" s="116"/>
      <x:c r="B13" s="116"/>
      <x:c r="C13" s="116"/>
      <x:c r="D13" s="116"/>
      <x:c r="E13" s="116"/>
      <x:c r="F13" s="116"/>
    </x:row>
    <x:row r="15">
      <x:c r="A15" s="117" t="str">
        <x:v>Interpret calculations with evidence quality, uncertainty, mandatory safeguards, implementation capacity, monitoring, and exit conditions.</x:v>
      </x:c>
      <x:c r="B15" s="117"/>
      <x:c r="C15" s="117"/>
      <x:c r="D15" s="117"/>
      <x:c r="E15" s="117"/>
      <x:c r="F15" s="117"/>
    </x:row>
  </x:sheetData>
  <x:mergeCells>
    <x:mergeCell ref="A1:F2"/>
    <x:mergeCell ref="A8:F8"/>
    <x:mergeCell ref="A9:F13"/>
    <x:mergeCell ref="A15:F15"/>
  </x:mergeCells>
  <x:pageMargins left="0.7" right="0.7" top="0.75" bottom="0.75" header="0.3" footer="0.3"/>
</x:worksheet>
</file>

<file path=docProps/app.xml><?xml version="1.0" encoding="utf-8"?>
<Properties xmlns="http://schemas.openxmlformats.org/officeDocument/2006/extended-properties">
  <Application/>
</Properties>
</file>

<file path=docProps/core.xml><?xml version="1.0" encoding="utf-8"?>
<cp:coreProperties xmlns:cp="http://schemas.openxmlformats.org/package/2006/metadata/core-properties" xmlns:dc="http://purl.org/dc/elements/1.1/" xmlns:dcterms="http://purl.org/dc/terms/" xmlns:xsi="http://www.w3.org/2001/XMLSchema-instance">
  <dc:title>Digital Resource Companion</dc:title>
  <dc:subject>Healthcare management, economics, evidence, and lifecycle governance</dc:subject>
  <dc:creator>Muthana Zouri; Carmen Marinela Cumpăt</dc:creator>
  <cp:lastModifiedBy/>
  <cp:revision>1</cp:revision>
</cp:coreProperties>
</file>