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a59da8baa4b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a3e580adfb7a4acf"/>
    <x:sheet xmlns:r="http://schemas.openxmlformats.org/officeDocument/2006/relationships" name="Worked Inputs" sheetId="2" r:id="Raff411af7e0f4ea7"/>
    <x:sheet xmlns:r="http://schemas.openxmlformats.org/officeDocument/2006/relationships" name="Blank Template" sheetId="3" r:id="R03912e855780491b"/>
    <x:sheet xmlns:r="http://schemas.openxmlformats.org/officeDocument/2006/relationships" name="Decision Summary" sheetId="4" r:id="R320234d38e564a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  <x:font>
      <x:b/>
      <x:sz val="11"/>
      <x:color rgb="FF30323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  <x:fill>
      <x:patternFill patternType="solid">
        <x:fgColor rgb="FF6B2230"/>
      </x:patternFill>
    </x:fill>
    <x:fill>
      <x:patternFill patternType="solid">
        <x:fgColor rgb="FFF5F0E7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2" fillId="8" borderId="2" xfId="0" applyNumberFormat="1" applyFont="1" applyFill="1" applyBorder="1" applyAlignment="1">
      <x:alignment wrapText="1"/>
    </x:xf>
    <x:xf numFmtId="0" fontId="5" fillId="8" borderId="2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5" fillId="8" borderId="4" xfId="0" applyNumberFormat="1" applyFont="1" applyFill="1" applyBorder="1" applyAlignment="1">
      <x:alignment wrapText="1"/>
    </x:xf>
    <x:xf numFmtId="0" fontId="2" fillId="8" borderId="14" xfId="0" applyNumberFormat="1" applyFont="1" applyFill="1" applyBorder="1" applyAlignment="1">
      <x:alignment wrapText="1"/>
    </x:xf>
    <x:xf numFmtId="0" fontId="2" fillId="8" borderId="15" xfId="0" applyNumberFormat="1" applyFont="1" applyFill="1" applyBorder="1" applyAlignment="1">
      <x:alignment wrapText="1"/>
    </x:xf>
    <x:xf numFmtId="0" fontId="2" fillId="8" borderId="16" xfId="0" applyNumberFormat="1" applyFont="1" applyFill="1" applyBorder="1" applyAlignment="1">
      <x:alignment wrapText="1"/>
    </x:xf>
    <x:xf numFmtId="0" fontId="5" fillId="8" borderId="14" xfId="0" applyNumberFormat="1" applyFont="1" applyFill="1" applyBorder="1" applyAlignment="1">
      <x:alignment wrapText="1"/>
    </x:xf>
    <x:xf numFmtId="0" fontId="5" fillId="8" borderId="15" xfId="0" applyNumberFormat="1" applyFont="1" applyFill="1" applyBorder="1" applyAlignment="1">
      <x:alignment wrapText="1"/>
    </x:xf>
    <x:xf numFmtId="0" fontId="5" fillId="8" borderId="16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1450cb07d4446c" /><Relationship Type="http://schemas.openxmlformats.org/officeDocument/2006/relationships/theme" Target="/xl/theme/theme1.xml" Id="R0c7d499210c3414f" /><Relationship Type="http://schemas.openxmlformats.org/officeDocument/2006/relationships/sharedStrings" Target="/xl/sharedStrings.xml" Id="R521324db6f1f4ba5" /><Relationship Type="http://schemas.openxmlformats.org/officeDocument/2006/relationships/worksheet" Target="/xl/worksheets/sheet1.xml" Id="Ra3e580adfb7a4acf" /><Relationship Type="http://schemas.openxmlformats.org/officeDocument/2006/relationships/worksheet" Target="/xl/worksheets/sheet2.xml" Id="Raff411af7e0f4ea7" /><Relationship Type="http://schemas.openxmlformats.org/officeDocument/2006/relationships/worksheet" Target="/xl/worksheets/sheet3.xml" Id="R03912e855780491b" /><Relationship Type="http://schemas.openxmlformats.org/officeDocument/2006/relationships/worksheet" Target="/xl/worksheets/sheet4.xml" Id="R320234d38e564aac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102" t="str">
        <x:v>Local Validation and Causal Evaluation of a Readmission Model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04" t="str">
        <x:v>Example ID</x:v>
      </x:c>
      <x:c r="B4" s="42" t="str">
        <x:v>AIHE-CASE11</x:v>
      </x:c>
    </x:row>
    <x:row r="5">
      <x:c r="A5" s="106" t="str">
        <x:v>Chapter</x:v>
      </x:c>
      <x:c r="B5" s="43" t="str">
        <x:v>11: Evidence, Validation, and Real-World Evaluation</x:v>
      </x:c>
    </x:row>
    <x:row r="6">
      <x:c r="A6" s="106" t="str">
        <x:v>Decision question</x:v>
      </x:c>
      <x:c r="B6" s="43" t="str">
        <x:v>Does local performance and observed service change support adoption, and what can reasonably be attributed to the AI-enabled pathway?</x:v>
      </x:c>
    </x:row>
    <x:row r="7">
      <x:c r="A7" s="106" t="str">
        <x:v>Status</x:v>
      </x:c>
      <x:c r="B7" s="43" t="str">
        <x:v>Synthetic demonstration only</x:v>
      </x:c>
    </x:row>
    <x:row r="8">
      <x:c r="A8" s="106" t="str">
        <x:v>Version</x:v>
      </x:c>
      <x:c r="B8" s="43" t="str">
        <x:v>V1.0</x:v>
      </x:c>
    </x:row>
    <x:row r="9">
      <x:c r="A9" s="106" t="str">
        <x:v>Release date</x:v>
      </x:c>
      <x:c r="B9" s="43" t="str">
        <x:v>2026-08-06</x:v>
      </x:c>
    </x:row>
    <x:row r="10">
      <x:c r="A10" s="106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106" t="str">
        <x:v>Related resources</x:v>
      </x:c>
      <x:c r="B11" s="43" t="str">
        <x:v>AIHE-B05, AIHE-EX05, AIHE-EX04, AIHE-V</x:v>
      </x:c>
    </x:row>
    <x:row r="12">
      <x:c r="A12" s="108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42" hidden="0" customWidth="1"/>
    <x:col min="5" max="5" width="38" hidden="0" customWidth="1"/>
    <x:col min="6" max="6" width="52" hidden="0" customWidth="1"/>
  </x:cols>
  <x:sheetData>
    <x:row r="1">
      <x:c r="A1" s="102" t="str">
        <x:v>Worked synthetic inputs and calculations</x:v>
      </x:c>
      <x:c r="B1" s="102"/>
      <x:c r="C1" s="102"/>
      <x:c r="D1" s="102"/>
      <x:c r="E1" s="102"/>
      <x:c r="F1" s="102"/>
      <x:c r="G1" s="102"/>
      <x:c r="H1" s="102"/>
    </x:row>
    <x:row r="3">
      <x:c r="A3" s="112" t="str">
        <x:v>Metric</x:v>
      </x:c>
      <x:c r="B3" s="113" t="str">
        <x:v>Value</x:v>
      </x:c>
      <x:c r="C3" s="114" t="str">
        <x:v>Comparator or threshold</x:v>
      </x:c>
      <x:c r="E3" s="112" t="str">
        <x:v>Calculation</x:v>
      </x:c>
      <x:c r="F3" s="114" t="str">
        <x:v>Formula result</x:v>
      </x:c>
    </x:row>
    <x:row r="4">
      <x:c r="A4" s="72" t="str">
        <x:v>Vendor AUROC</x:v>
      </x:c>
      <x:c r="B4" s="73" t="n">
        <x:v>0.87</x:v>
      </x:c>
      <x:c r="C4" s="74" t="n">
        <x:v>0.8</x:v>
      </x:c>
      <x:c r="E4" s="72" t="str">
        <x:v>Local AUROC status</x:v>
      </x:c>
      <x:c r="F4" s="74" t="str">
        <x:f>IF(B5&gt;=C5,"PASS","REVIEW")</x:f>
        <x:v>REVIEW</x:v>
      </x:c>
    </x:row>
    <x:row r="5">
      <x:c r="A5" s="75" t="str">
        <x:v>Local AUROC</x:v>
      </x:c>
      <x:c r="B5" s="40" t="n">
        <x:v>0.79</x:v>
      </x:c>
      <x:c r="C5" s="76" t="n">
        <x:v>0.8</x:v>
      </x:c>
      <x:c r="E5" s="75" t="str">
        <x:v>Calibration status</x:v>
      </x:c>
      <x:c r="F5" s="76" t="str">
        <x:f>IF(B6&gt;=C6,"PASS","REVIEW")</x:f>
        <x:v>REVIEW</x:v>
      </x:c>
    </x:row>
    <x:row r="6">
      <x:c r="A6" s="75" t="str">
        <x:v>Local calibration slope</x:v>
      </x:c>
      <x:c r="B6" s="40" t="n">
        <x:v>0.76</x:v>
      </x:c>
      <x:c r="C6" s="76" t="n">
        <x:v>0.9</x:v>
      </x:c>
      <x:c r="E6" s="75" t="str">
        <x:v>Minority-language subgroup status</x:v>
      </x:c>
      <x:c r="F6" s="76" t="str">
        <x:f>IF(B8&gt;=C8,"PASS","REVIEW")</x:f>
        <x:v>REVIEW</x:v>
      </x:c>
    </x:row>
    <x:row r="7">
      <x:c r="A7" s="75" t="str">
        <x:v>Majority-language subgroup AUROC</x:v>
      </x:c>
      <x:c r="B7" s="40" t="n">
        <x:v>0.81</x:v>
      </x:c>
      <x:c r="C7" s="76" t="n">
        <x:v>0.8</x:v>
      </x:c>
      <x:c r="E7" s="75" t="str">
        <x:v>Difference-in-differences</x:v>
      </x:c>
      <x:c r="F7" s="76" t="n">
        <x:f>(B10-B9)-(B12-B11)</x:f>
        <x:v>-0.014999999999999986</x:v>
      </x:c>
    </x:row>
    <x:row r="8">
      <x:c r="A8" s="75" t="str">
        <x:v>Minority-language subgroup AUROC</x:v>
      </x:c>
      <x:c r="B8" s="40" t="n">
        <x:v>0.68</x:v>
      </x:c>
      <x:c r="C8" s="76" t="n">
        <x:v>0.8</x:v>
      </x:c>
      <x:c r="E8" s="77" t="str">
        <x:v>Decision</x:v>
      </x:c>
      <x:c r="F8" s="79" t="str">
        <x:f>IF(COUNTIF(F4:F6,"REVIEW")&gt;0,"Recalibrate or restrict; continue prospective evaluation","Proceed to staged use")</x:f>
        <x:v>Recalibrate or restrict; continue prospective evaluation</x:v>
      </x:c>
    </x:row>
    <x:row r="9">
      <x:c r="A9" s="75" t="str">
        <x:v>Intervention site pre readmission rate</x:v>
      </x:c>
      <x:c r="B9" s="40" t="n">
        <x:v>0.152</x:v>
      </x:c>
      <x:c r="C9" s="76" t="n">
        <x:v>0</x:v>
      </x:c>
    </x:row>
    <x:row r="10">
      <x:c r="A10" s="75" t="str">
        <x:v>Intervention site post readmission rate</x:v>
      </x:c>
      <x:c r="B10" s="40" t="n">
        <x:v>0.13</x:v>
      </x:c>
      <x:c r="C10" s="76" t="n">
        <x:v>0</x:v>
      </x:c>
    </x:row>
    <x:row r="11">
      <x:c r="A11" s="75" t="str">
        <x:v>Control site pre readmission rate</x:v>
      </x:c>
      <x:c r="B11" s="40" t="n">
        <x:v>0.148</x:v>
      </x:c>
      <x:c r="C11" s="76" t="n">
        <x:v>0</x:v>
      </x:c>
    </x:row>
    <x:row r="12">
      <x:c r="A12" s="77" t="str">
        <x:v>Control site post readmission rate</x:v>
      </x:c>
      <x:c r="B12" s="78" t="n">
        <x:v>0.141</x:v>
      </x:c>
      <x:c r="C12" s="79" t="n">
        <x:v>0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</x:cols>
  <x:sheetData>
    <x:row r="1">
      <x:c r="A1" s="102" t="str">
        <x:v>Blank template - replace synthetic values with governed local evidence</x:v>
      </x:c>
      <x:c r="B1" s="102"/>
      <x:c r="C1" s="102"/>
    </x:row>
    <x:row r="3">
      <x:c r="A3" s="112" t="str">
        <x:v>Metric</x:v>
      </x:c>
      <x:c r="B3" s="113" t="str">
        <x:v>Value</x:v>
      </x:c>
      <x:c r="C3" s="114" t="str">
        <x:v>Comparator or threshold</x:v>
      </x:c>
    </x:row>
    <x:row r="4">
      <x:c r="A4" s="72" t="str">
        <x:v>Vendor AUROC</x:v>
      </x:c>
      <x:c r="B4" s="73" t="str"/>
      <x:c r="C4" s="74" t="n">
        <x:v>0.8</x:v>
      </x:c>
    </x:row>
    <x:row r="5">
      <x:c r="A5" s="75" t="str">
        <x:v>Local AUROC</x:v>
      </x:c>
      <x:c r="B5" s="40" t="str"/>
      <x:c r="C5" s="76" t="n">
        <x:v>0.8</x:v>
      </x:c>
    </x:row>
    <x:row r="6">
      <x:c r="A6" s="75" t="str">
        <x:v>Local calibration slope</x:v>
      </x:c>
      <x:c r="B6" s="40" t="str"/>
      <x:c r="C6" s="76" t="n">
        <x:v>0.9</x:v>
      </x:c>
    </x:row>
    <x:row r="7">
      <x:c r="A7" s="75" t="str">
        <x:v>Majority-language subgroup AUROC</x:v>
      </x:c>
      <x:c r="B7" s="40" t="str"/>
      <x:c r="C7" s="76" t="n">
        <x:v>0.8</x:v>
      </x:c>
    </x:row>
    <x:row r="8">
      <x:c r="A8" s="75" t="str">
        <x:v>Minority-language subgroup AUROC</x:v>
      </x:c>
      <x:c r="B8" s="40" t="str"/>
      <x:c r="C8" s="76" t="n">
        <x:v>0.8</x:v>
      </x:c>
    </x:row>
    <x:row r="9">
      <x:c r="A9" s="75" t="str">
        <x:v>Intervention site pre readmission rate</x:v>
      </x:c>
      <x:c r="B9" s="40" t="str"/>
      <x:c r="C9" s="76" t="n">
        <x:v>0</x:v>
      </x:c>
    </x:row>
    <x:row r="10">
      <x:c r="A10" s="75" t="str">
        <x:v>Intervention site post readmission rate</x:v>
      </x:c>
      <x:c r="B10" s="40" t="str"/>
      <x:c r="C10" s="76" t="n">
        <x:v>0</x:v>
      </x:c>
    </x:row>
    <x:row r="11">
      <x:c r="A11" s="75" t="str">
        <x:v>Control site pre readmission rate</x:v>
      </x:c>
      <x:c r="B11" s="40" t="str"/>
      <x:c r="C11" s="76" t="n">
        <x:v>0</x:v>
      </x:c>
    </x:row>
    <x:row r="12">
      <x:c r="A12" s="77" t="str">
        <x:v>Control site post readmission rate</x:v>
      </x:c>
      <x:c r="B12" s="78" t="str"/>
      <x:c r="C12" s="79" t="n">
        <x:v>0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102" t="str">
        <x:v>Local Validation and Causal Evaluation of a Readmission Model</x:v>
      </x:c>
      <x:c r="B1" s="102"/>
      <x:c r="C1" s="102"/>
      <x:c r="D1" s="102"/>
      <x:c r="E1" s="102"/>
      <x:c r="F1" s="102"/>
    </x:row>
    <x:row r="2">
      <x:c r="A2" s="102"/>
      <x:c r="B2" s="102"/>
      <x:c r="C2" s="102"/>
      <x:c r="D2" s="102"/>
      <x:c r="E2" s="102"/>
      <x:c r="F2" s="102"/>
    </x:row>
    <x:row r="4">
      <x:c r="A4" s="112" t="str">
        <x:v>Reference metric</x:v>
      </x:c>
      <x:c r="B4" s="114" t="str">
        <x:v>Synthetic result</x:v>
      </x:c>
    </x:row>
    <x:row r="5">
      <x:c r="A5" s="72" t="str">
        <x:v>Difference-in-differences</x:v>
      </x:c>
      <x:c r="B5" s="74" t="str">
        <x:v>-1.5 percentage points</x:v>
      </x:c>
    </x:row>
    <x:row r="6">
      <x:c r="A6" s="77" t="str">
        <x:v>Validation conclusion</x:v>
      </x:c>
      <x:c r="B6" s="79" t="str">
        <x:v>Recalibration and subgroup safeguards required</x:v>
      </x:c>
    </x:row>
    <x:row r="8">
      <x:c r="A8" s="115" t="str">
        <x:v>Worked interpretation</x:v>
      </x:c>
      <x:c r="B8" s="115"/>
      <x:c r="C8" s="115"/>
      <x:c r="D8" s="115"/>
      <x:c r="E8" s="115"/>
      <x:c r="F8" s="115"/>
    </x:row>
    <x:row r="9">
      <x:c r="A9" s="116" t="str">
        <x:v>Local performance does not reproduce the vendor result, calibration is inadequate, and the minority-language subgroup is below the acceptability threshold. The intervention site improves by 2.2 percentage points and the control site by 0.7 points, yielding a difference-in-differences estimate of -1.5 percentage points. This applies to the complete pathway, not the model alone. Recalibration, subgroup safeguards, and prospective evaluation are required before scale.</x:v>
      </x:c>
      <x:c r="B9" s="116"/>
      <x:c r="C9" s="116"/>
      <x:c r="D9" s="116"/>
      <x:c r="E9" s="116"/>
      <x:c r="F9" s="116"/>
    </x:row>
    <x:row r="10">
      <x:c r="A10" s="116"/>
      <x:c r="B10" s="116"/>
      <x:c r="C10" s="116"/>
      <x:c r="D10" s="116"/>
      <x:c r="E10" s="116"/>
      <x:c r="F10" s="116"/>
    </x:row>
    <x:row r="11">
      <x:c r="A11" s="116"/>
      <x:c r="B11" s="116"/>
      <x:c r="C11" s="116"/>
      <x:c r="D11" s="116"/>
      <x:c r="E11" s="116"/>
      <x:c r="F11" s="116"/>
    </x:row>
    <x:row r="12">
      <x:c r="A12" s="116"/>
      <x:c r="B12" s="116"/>
      <x:c r="C12" s="116"/>
      <x:c r="D12" s="116"/>
      <x:c r="E12" s="116"/>
      <x:c r="F12" s="116"/>
    </x:row>
    <x:row r="13">
      <x:c r="A13" s="116"/>
      <x:c r="B13" s="116"/>
      <x:c r="C13" s="116"/>
      <x:c r="D13" s="116"/>
      <x:c r="E13" s="116"/>
      <x:c r="F13" s="116"/>
    </x:row>
    <x:row r="15">
      <x:c r="A15" s="117" t="str">
        <x:v>Interpret calculations with evidence quality, uncertainty, mandatory safeguards, implementation capacity, monitoring, and exit conditions.</x:v>
      </x:c>
      <x:c r="B15" s="117"/>
      <x:c r="C15" s="117"/>
      <x:c r="D15" s="117"/>
      <x:c r="E15" s="117"/>
      <x:c r="F15" s="117"/>
    </x:row>
  </x:sheetData>
  <x:mergeCells>
    <x:mergeCell ref="A1:F2"/>
    <x:mergeCell ref="A8:F8"/>
    <x:mergeCell ref="A9:F13"/>
    <x:mergeCell ref="A15:F15"/>
  </x:mergeCell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