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9267a580b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bd02c631e1074e58"/>
    <x:sheet xmlns:r="http://schemas.openxmlformats.org/officeDocument/2006/relationships" name="Worked Inputs" sheetId="2" r:id="Red440f8660f94058"/>
    <x:sheet xmlns:r="http://schemas.openxmlformats.org/officeDocument/2006/relationships" name="Blank Template" sheetId="3" r:id="R8236521f527241a9"/>
    <x:sheet xmlns:r="http://schemas.openxmlformats.org/officeDocument/2006/relationships" name="Decision Summary" sheetId="4" r:id="Rc79d03ed21d4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color rgb="FF30323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2" fillId="8" borderId="14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wrapText="1"/>
    </x:xf>
    <x:xf numFmtId="0" fontId="5" fillId="8" borderId="15" xfId="0" applyNumberFormat="1" applyFont="1" applyFill="1" applyBorder="1" applyAlignment="1">
      <x:alignment wrapText="1"/>
    </x:xf>
    <x:xf numFmtId="0" fontId="5" fillId="8" borderId="16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0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5d3c4dc72404c" /><Relationship Type="http://schemas.openxmlformats.org/officeDocument/2006/relationships/theme" Target="/xl/theme/theme1.xml" Id="R947998ab4df7412e" /><Relationship Type="http://schemas.openxmlformats.org/officeDocument/2006/relationships/sharedStrings" Target="/xl/sharedStrings.xml" Id="R5799b898470f4f58" /><Relationship Type="http://schemas.openxmlformats.org/officeDocument/2006/relationships/worksheet" Target="/xl/worksheets/sheet1.xml" Id="Rbd02c631e1074e58" /><Relationship Type="http://schemas.openxmlformats.org/officeDocument/2006/relationships/worksheet" Target="/xl/worksheets/sheet2.xml" Id="Red440f8660f94058" /><Relationship Type="http://schemas.openxmlformats.org/officeDocument/2006/relationships/worksheet" Target="/xl/worksheets/sheet3.xml" Id="R8236521f527241a9" /><Relationship Type="http://schemas.openxmlformats.org/officeDocument/2006/relationships/worksheet" Target="/xl/worksheets/sheet4.xml" Id="Rc79d03ed21d44199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02" t="str">
        <x:v>Ambient Documentation Assistant: Productivity and Workforce Redesign</x:v>
      </x:c>
      <x:c r="B1" s="102"/>
      <x:c r="C1" s="102"/>
      <x:c r="D1" s="102"/>
      <x:c r="E1" s="102"/>
      <x:c r="F1" s="102"/>
    </x:row>
    <x:row r="2">
      <x:c r="A2" s="102"/>
      <x:c r="B2" s="102"/>
      <x:c r="C2" s="102"/>
      <x:c r="D2" s="102"/>
      <x:c r="E2" s="102"/>
      <x:c r="F2" s="102"/>
    </x:row>
    <x:row r="4">
      <x:c r="A4" s="104" t="str">
        <x:v>Example ID</x:v>
      </x:c>
      <x:c r="B4" s="42" t="str">
        <x:v>AIHE-CASE04</x:v>
      </x:c>
    </x:row>
    <x:row r="5">
      <x:c r="A5" s="106" t="str">
        <x:v>Chapter</x:v>
      </x:c>
      <x:c r="B5" s="43" t="str">
        <x:v>4: Productivity, Work Redesign, and Implementation</x:v>
      </x:c>
    </x:row>
    <x:row r="6">
      <x:c r="A6" s="106" t="str">
        <x:v>Decision question</x:v>
      </x:c>
      <x:c r="B6" s="43" t="str">
        <x:v>How much of the claimed notes time saving becomes usable capacity after review, correction, adoption, and implementation costs?</x:v>
      </x:c>
    </x:row>
    <x:row r="7">
      <x:c r="A7" s="106" t="str">
        <x:v>Status</x:v>
      </x:c>
      <x:c r="B7" s="43" t="str">
        <x:v>Synthetic demonstration only</x:v>
      </x:c>
    </x:row>
    <x:row r="8">
      <x:c r="A8" s="106" t="str">
        <x:v>Version</x:v>
      </x:c>
      <x:c r="B8" s="43" t="str">
        <x:v>V1.0</x:v>
      </x:c>
    </x:row>
    <x:row r="9">
      <x:c r="A9" s="106" t="str">
        <x:v>Release date</x:v>
      </x:c>
      <x:c r="B9" s="43" t="str">
        <x:v>2026-08-06</x:v>
      </x:c>
    </x:row>
    <x:row r="10">
      <x:c r="A10" s="106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106" t="str">
        <x:v>Related resources</x:v>
      </x:c>
      <x:c r="B11" s="43" t="str">
        <x:v>AIHE-B03, AIHE-Z, AIHE-EX07, AIHE-R, AIHE-EX10</x:v>
      </x:c>
    </x:row>
    <x:row r="12">
      <x:c r="A12" s="108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5" max="5" width="38" hidden="0" customWidth="1"/>
    <x:col min="6" max="6" width="22" hidden="0" customWidth="1"/>
  </x:cols>
  <x:sheetData>
    <x:row r="1">
      <x:c r="A1" s="102" t="str">
        <x:v>Worked synthetic inputs and calculations</x:v>
      </x:c>
      <x:c r="B1" s="102"/>
      <x:c r="C1" s="102"/>
      <x:c r="D1" s="102"/>
      <x:c r="E1" s="102"/>
      <x:c r="F1" s="102"/>
      <x:c r="G1" s="102"/>
      <x:c r="H1" s="102"/>
    </x:row>
    <x:row r="3">
      <x:c r="A3" s="112" t="str">
        <x:v>Parameter</x:v>
      </x:c>
      <x:c r="B3" s="113" t="str">
        <x:v>Value</x:v>
      </x:c>
      <x:c r="C3" s="114" t="str">
        <x:v>Unit</x:v>
      </x:c>
      <x:c r="E3" s="112" t="str">
        <x:v>Calculation</x:v>
      </x:c>
      <x:c r="F3" s="114" t="str">
        <x:v>Formula result</x:v>
      </x:c>
    </x:row>
    <x:row r="4">
      <x:c r="A4" s="72" t="str">
        <x:v>Clinicians</x:v>
      </x:c>
      <x:c r="B4" s="73" t="n">
        <x:v>40</x:v>
      </x:c>
      <x:c r="C4" s="74" t="str">
        <x:v>people</x:v>
      </x:c>
      <x:c r="E4" s="72" t="str">
        <x:v>Annual used encounters</x:v>
      </x:c>
      <x:c r="F4" s="74" t="n">
        <x:f>B4*B5*B6*B9</x:f>
        <x:v>25760</x:v>
      </x:c>
    </x:row>
    <x:row r="5">
      <x:c r="A5" s="75" t="str">
        <x:v>Encounters per clinician per week</x:v>
      </x:c>
      <x:c r="B5" s="40" t="n">
        <x:v>20</x:v>
      </x:c>
      <x:c r="C5" s="76" t="str">
        <x:v>encounters</x:v>
      </x:c>
      <x:c r="E5" s="75" t="str">
        <x:v>Net minutes saved per used encounter</x:v>
      </x:c>
      <x:c r="F5" s="76" t="n">
        <x:f>MAX(0,B7-B8)</x:f>
        <x:v>3.5</x:v>
      </x:c>
    </x:row>
    <x:row r="6">
      <x:c r="A6" s="75" t="str">
        <x:v>Working weeks per year</x:v>
      </x:c>
      <x:c r="B6" s="40" t="n">
        <x:v>46</x:v>
      </x:c>
      <x:c r="C6" s="76" t="str">
        <x:v>weeks</x:v>
      </x:c>
      <x:c r="E6" s="75" t="str">
        <x:v>Net annual hours released</x:v>
      </x:c>
      <x:c r="F6" s="76" t="n">
        <x:f>F4*F5/60</x:f>
        <x:v>1502.6666666666667</x:v>
      </x:c>
    </x:row>
    <x:row r="7">
      <x:c r="A7" s="75" t="str">
        <x:v>Gross minutes saved per used encounter</x:v>
      </x:c>
      <x:c r="B7" s="40" t="n">
        <x:v>7</x:v>
      </x:c>
      <x:c r="C7" s="76" t="str">
        <x:v>minutes</x:v>
      </x:c>
      <x:c r="E7" s="75" t="str">
        <x:v>Redeployable hours</x:v>
      </x:c>
      <x:c r="F7" s="76" t="n">
        <x:f>F6*B10</x:f>
        <x:v>150.26666666666668</x:v>
      </x:c>
    </x:row>
    <x:row r="8">
      <x:c r="A8" s="75" t="str">
        <x:v>Review and correction minutes per used encounter</x:v>
      </x:c>
      <x:c r="B8" s="40" t="n">
        <x:v>3.5</x:v>
      </x:c>
      <x:c r="C8" s="76" t="str">
        <x:v>minutes</x:v>
      </x:c>
      <x:c r="E8" s="75" t="str">
        <x:v>Monetized realized value</x:v>
      </x:c>
      <x:c r="F8" s="76" t="n">
        <x:f>F7*B11</x:f>
        <x:v>45080.00000000001</x:v>
      </x:c>
    </x:row>
    <x:row r="9">
      <x:c r="A9" s="75" t="str">
        <x:v>Adoption rate</x:v>
      </x:c>
      <x:c r="B9" s="40" t="n">
        <x:v>0.7</x:v>
      </x:c>
      <x:c r="C9" s="76" t="str">
        <x:v>proportion</x:v>
      </x:c>
      <x:c r="E9" s="75" t="str">
        <x:v>First-year cost</x:v>
      </x:c>
      <x:c r="F9" s="76" t="n">
        <x:f>SUM(B12:B15)</x:f>
        <x:v>375000</x:v>
      </x:c>
    </x:row>
    <x:row r="10">
      <x:c r="A10" s="75" t="str">
        <x:v>Redeployable share of net hours</x:v>
      </x:c>
      <x:c r="B10" s="40" t="n">
        <x:v>0.1</x:v>
      </x:c>
      <x:c r="C10" s="76" t="str">
        <x:v>proportion</x:v>
      </x:c>
      <x:c r="E10" s="77" t="str">
        <x:v>First-year net financial result</x:v>
      </x:c>
      <x:c r="F10" s="79" t="n">
        <x:f>F8-F9</x:f>
        <x:v>-329920</x:v>
      </x:c>
    </x:row>
    <x:row r="11">
      <x:c r="A11" s="75" t="str">
        <x:v>Value per redeployed hour</x:v>
      </x:c>
      <x:c r="B11" s="40" t="n">
        <x:v>300</x:v>
      </x:c>
      <x:c r="C11" s="76" t="str">
        <x:v>currency/hour</x:v>
      </x:c>
    </x:row>
    <x:row r="12">
      <x:c r="A12" s="75" t="str">
        <x:v>Annual subscription</x:v>
      </x:c>
      <x:c r="B12" s="40" t="n">
        <x:v>180000</x:v>
      </x:c>
      <x:c r="C12" s="76" t="str">
        <x:v>currency</x:v>
      </x:c>
    </x:row>
    <x:row r="13">
      <x:c r="A13" s="75" t="str">
        <x:v>First-year integration</x:v>
      </x:c>
      <x:c r="B13" s="40" t="n">
        <x:v>120000</x:v>
      </x:c>
      <x:c r="C13" s="76" t="str">
        <x:v>currency</x:v>
      </x:c>
    </x:row>
    <x:row r="14">
      <x:c r="A14" s="75" t="str">
        <x:v>Training and workflow redesign</x:v>
      </x:c>
      <x:c r="B14" s="40" t="n">
        <x:v>35000</x:v>
      </x:c>
      <x:c r="C14" s="76" t="str">
        <x:v>currency</x:v>
      </x:c>
    </x:row>
    <x:row r="15">
      <x:c r="A15" s="77" t="str">
        <x:v>Annual monitoring and governance</x:v>
      </x:c>
      <x:c r="B15" s="78" t="n">
        <x:v>40000</x:v>
      </x:c>
      <x:c r="C15" s="79" t="str">
        <x:v>currency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102" t="str">
        <x:v>Blank template - replace synthetic values with governed local evidence</x:v>
      </x:c>
      <x:c r="B1" s="102"/>
      <x:c r="C1" s="102"/>
    </x:row>
    <x:row r="3">
      <x:c r="A3" s="112" t="str">
        <x:v>Parameter</x:v>
      </x:c>
      <x:c r="B3" s="113" t="str">
        <x:v>Value</x:v>
      </x:c>
      <x:c r="C3" s="114" t="str">
        <x:v>Unit</x:v>
      </x:c>
    </x:row>
    <x:row r="4">
      <x:c r="A4" s="72" t="str">
        <x:v>Clinicians</x:v>
      </x:c>
      <x:c r="B4" s="73" t="str"/>
      <x:c r="C4" s="74" t="str">
        <x:v>people</x:v>
      </x:c>
    </x:row>
    <x:row r="5">
      <x:c r="A5" s="75" t="str">
        <x:v>Encounters per clinician per week</x:v>
      </x:c>
      <x:c r="B5" s="40" t="str"/>
      <x:c r="C5" s="76" t="str">
        <x:v>encounters</x:v>
      </x:c>
    </x:row>
    <x:row r="6">
      <x:c r="A6" s="75" t="str">
        <x:v>Working weeks per year</x:v>
      </x:c>
      <x:c r="B6" s="40" t="str"/>
      <x:c r="C6" s="76" t="str">
        <x:v>weeks</x:v>
      </x:c>
    </x:row>
    <x:row r="7">
      <x:c r="A7" s="75" t="str">
        <x:v>Gross minutes saved per used encounter</x:v>
      </x:c>
      <x:c r="B7" s="40" t="str"/>
      <x:c r="C7" s="76" t="str">
        <x:v>minutes</x:v>
      </x:c>
    </x:row>
    <x:row r="8">
      <x:c r="A8" s="75" t="str">
        <x:v>Review and correction minutes per used encounter</x:v>
      </x:c>
      <x:c r="B8" s="40" t="str"/>
      <x:c r="C8" s="76" t="str">
        <x:v>minutes</x:v>
      </x:c>
    </x:row>
    <x:row r="9">
      <x:c r="A9" s="75" t="str">
        <x:v>Adoption rate</x:v>
      </x:c>
      <x:c r="B9" s="40" t="str"/>
      <x:c r="C9" s="76" t="str">
        <x:v>proportion</x:v>
      </x:c>
    </x:row>
    <x:row r="10">
      <x:c r="A10" s="75" t="str">
        <x:v>Redeployable share of net hours</x:v>
      </x:c>
      <x:c r="B10" s="40" t="str"/>
      <x:c r="C10" s="76" t="str">
        <x:v>proportion</x:v>
      </x:c>
    </x:row>
    <x:row r="11">
      <x:c r="A11" s="75" t="str">
        <x:v>Value per redeployed hour</x:v>
      </x:c>
      <x:c r="B11" s="40" t="str"/>
      <x:c r="C11" s="76" t="str">
        <x:v>currency/hour</x:v>
      </x:c>
    </x:row>
    <x:row r="12">
      <x:c r="A12" s="75" t="str">
        <x:v>Annual subscription</x:v>
      </x:c>
      <x:c r="B12" s="40" t="str"/>
      <x:c r="C12" s="76" t="str">
        <x:v>currency</x:v>
      </x:c>
    </x:row>
    <x:row r="13">
      <x:c r="A13" s="75" t="str">
        <x:v>First-year integration</x:v>
      </x:c>
      <x:c r="B13" s="40" t="str"/>
      <x:c r="C13" s="76" t="str">
        <x:v>currency</x:v>
      </x:c>
    </x:row>
    <x:row r="14">
      <x:c r="A14" s="75" t="str">
        <x:v>Training and workflow redesign</x:v>
      </x:c>
      <x:c r="B14" s="40" t="str"/>
      <x:c r="C14" s="76" t="str">
        <x:v>currency</x:v>
      </x:c>
    </x:row>
    <x:row r="15">
      <x:c r="A15" s="77" t="str">
        <x:v>Annual monitoring and governance</x:v>
      </x:c>
      <x:c r="B15" s="78" t="str"/>
      <x:c r="C15" s="79" t="str">
        <x:v>currency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2" t="str">
        <x:v>Ambient Documentation Assistant: Productivity and Workforce Redesign</x:v>
      </x:c>
      <x:c r="B1" s="102"/>
      <x:c r="C1" s="102"/>
      <x:c r="D1" s="102"/>
      <x:c r="E1" s="102"/>
      <x:c r="F1" s="102"/>
    </x:row>
    <x:row r="2">
      <x:c r="A2" s="102"/>
      <x:c r="B2" s="102"/>
      <x:c r="C2" s="102"/>
      <x:c r="D2" s="102"/>
      <x:c r="E2" s="102"/>
      <x:c r="F2" s="102"/>
    </x:row>
    <x:row r="4">
      <x:c r="A4" s="112" t="str">
        <x:v>Reference metric</x:v>
      </x:c>
      <x:c r="B4" s="114" t="str">
        <x:v>Synthetic result</x:v>
      </x:c>
    </x:row>
    <x:row r="5">
      <x:c r="A5" s="72" t="str">
        <x:v>Net annual hours released</x:v>
      </x:c>
      <x:c r="B5" s="74" t="str">
        <x:v>Approximately 1,500</x:v>
      </x:c>
    </x:row>
    <x:row r="6">
      <x:c r="A6" s="75" t="str">
        <x:v>First-year financial result</x:v>
      </x:c>
      <x:c r="B6" s="76" t="str">
        <x:v>Negative</x:v>
      </x:c>
    </x:row>
    <x:row r="7">
      <x:c r="A7" s="77" t="str">
        <x:v>Decision</x:v>
      </x:c>
      <x:c r="B7" s="79" t="str">
        <x:v>Controlled pilot; no assumed headcount saving</x:v>
      </x:c>
    </x:row>
    <x:row r="9">
      <x:c r="A9" s="115" t="str">
        <x:v>Worked interpretation</x:v>
      </x:c>
      <x:c r="B9" s="115"/>
      <x:c r="C9" s="115"/>
      <x:c r="D9" s="115"/>
      <x:c r="E9" s="115"/>
      <x:c r="F9" s="115"/>
    </x:row>
    <x:row r="10">
      <x:c r="A10" s="116" t="str">
        <x:v>After correction and adoption are included, the example releases about 1,500 net hours annually, but only a small share is assumed to become additional clinical capacity. The first-year financial result remains negative after subscription, integration, training, and monitoring. The recommended decision is a six-month controlled pilot with mandatory clinician approval, stratified correction-rate monitoring, no assumed headcount saving, and separate monitoring of coding and downstream utilization.</x:v>
      </x:c>
      <x:c r="B10" s="116"/>
      <x:c r="C10" s="116"/>
      <x:c r="D10" s="116"/>
      <x:c r="E10" s="116"/>
      <x:c r="F10" s="116"/>
    </x:row>
    <x:row r="11">
      <x:c r="A11" s="116"/>
      <x:c r="B11" s="116"/>
      <x:c r="C11" s="116"/>
      <x:c r="D11" s="116"/>
      <x:c r="E11" s="116"/>
      <x:c r="F11" s="116"/>
    </x:row>
    <x:row r="12">
      <x:c r="A12" s="116"/>
      <x:c r="B12" s="116"/>
      <x:c r="C12" s="116"/>
      <x:c r="D12" s="116"/>
      <x:c r="E12" s="116"/>
      <x:c r="F12" s="116"/>
    </x:row>
    <x:row r="13">
      <x:c r="A13" s="116"/>
      <x:c r="B13" s="116"/>
      <x:c r="C13" s="116"/>
      <x:c r="D13" s="116"/>
      <x:c r="E13" s="116"/>
      <x:c r="F13" s="116"/>
    </x:row>
    <x:row r="14">
      <x:c r="A14" s="116"/>
      <x:c r="B14" s="116"/>
      <x:c r="C14" s="116"/>
      <x:c r="D14" s="116"/>
      <x:c r="E14" s="116"/>
      <x:c r="F14" s="116"/>
    </x:row>
    <x:row r="16">
      <x:c r="A16" s="117" t="str">
        <x:v>Interpret calculations with evidence quality, uncertainty, mandatory safeguards, implementation capacity, monitoring, and exit conditions.</x:v>
      </x:c>
      <x:c r="B16" s="117"/>
      <x:c r="C16" s="117"/>
      <x:c r="D16" s="117"/>
      <x:c r="E16" s="117"/>
      <x:c r="F16" s="117"/>
    </x:row>
  </x:sheetData>
  <x:mergeCells>
    <x:mergeCell ref="A1:F2"/>
    <x:mergeCell ref="A9:F9"/>
    <x:mergeCell ref="A10:F14"/>
    <x:mergeCell ref="A16:F1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