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35c5fd89d547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6a1d54d31b944ccf"/>
    <x:sheet xmlns:r="http://schemas.openxmlformats.org/officeDocument/2006/relationships" name="Worked Inputs" sheetId="2" r:id="Rd9789b9fadd14bad"/>
    <x:sheet xmlns:r="http://schemas.openxmlformats.org/officeDocument/2006/relationships" name="Blank Template" sheetId="3" r:id="Rb8001445650f4cfd"/>
    <x:sheet xmlns:r="http://schemas.openxmlformats.org/officeDocument/2006/relationships" name="Decision Summary" sheetId="4" r:id="R70cd4ad02d084e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3313D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A1731"/>
      </x:patternFill>
    </x:fill>
    <x:fill>
      <x:patternFill patternType="solid">
        <x:fgColor rgb="FFE8DDD5"/>
      </x:patternFill>
    </x:fill>
    <x:fill>
      <x:patternFill patternType="solid">
        <x:fgColor rgb="FFB38A52"/>
      </x:patternFill>
    </x:fill>
    <x:fill>
      <x:patternFill patternType="solid">
        <x:fgColor rgb="FFF7F3EF"/>
      </x:patternFill>
    </x:fill>
    <x:fill>
      <x:patternFill patternType="solid">
        <x:fgColor rgb="FFFFF3CD"/>
      </x:patternFill>
    </x:fill>
  </x:fills>
  <x:borders count="36">
    <x:border/>
    <x:border/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re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re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re" wrapText="1"/>
    </x:xf>
    <x:xf numFmtId="0" fontId="2" fillId="3" borderId="3" xfId="0" applyNumberFormat="1" applyFont="1" applyFill="1" applyBorder="1" applyAlignment="1">
      <x:alignment horizontal="centre" wrapText="1"/>
    </x:xf>
    <x:xf numFmtId="0" fontId="2" fillId="3" borderId="4" xfId="0" applyNumberFormat="1" applyFont="1" applyFill="1" applyBorder="1" applyAlignment="1">
      <x:alignment horizontal="centre" wrapText="1"/>
    </x:xf>
    <x:xf numFmtId="0" fontId="2" fillId="3" borderId="2" xfId="0" applyNumberFormat="1" applyFont="1" applyFill="1" applyBorder="1" applyAlignment="1">
      <x:alignment horizontal="centre" vertical="centre" wrapText="1"/>
    </x:xf>
    <x:xf numFmtId="0" fontId="2" fillId="3" borderId="3" xfId="0" applyNumberFormat="1" applyFont="1" applyFill="1" applyBorder="1" applyAlignment="1">
      <x:alignment horizontal="centre" vertical="centre" wrapText="1"/>
    </x:xf>
    <x:xf numFmtId="0" fontId="2" fillId="3" borderId="4" xfId="0" applyNumberFormat="1" applyFont="1" applyFill="1" applyBorder="1" applyAlignment="1">
      <x:alignment horizontal="centre" vertical="centre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re" wrapText="1"/>
    </x:xf>
    <x:xf numFmtId="0" fontId="2" fillId="3" borderId="6" xfId="0" applyNumberFormat="1" applyFont="1" applyFill="1" applyBorder="1" applyAlignment="1">
      <x:alignment horizontal="centre" wrapText="1"/>
    </x:xf>
    <x:xf numFmtId="0" fontId="2" fillId="3" borderId="7" xfId="0" applyNumberFormat="1" applyFont="1" applyFill="1" applyBorder="1" applyAlignment="1">
      <x:alignment horizontal="centre" wrapText="1"/>
    </x:xf>
    <x:xf numFmtId="0" fontId="2" fillId="3" borderId="5" xfId="0" applyNumberFormat="1" applyFont="1" applyFill="1" applyBorder="1" applyAlignment="1">
      <x:alignment horizontal="centre" vertical="centre" wrapText="1"/>
    </x:xf>
    <x:xf numFmtId="0" fontId="2" fillId="3" borderId="6" xfId="0" applyNumberFormat="1" applyFont="1" applyFill="1" applyBorder="1" applyAlignment="1">
      <x:alignment horizontal="centre" vertical="centre" wrapText="1"/>
    </x:xf>
    <x:xf numFmtId="0" fontId="2" fillId="3" borderId="7" xfId="0" applyNumberFormat="1" applyFont="1" applyFill="1" applyBorder="1" applyAlignment="1">
      <x:alignment horizontal="centre" vertical="centre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6" xfId="0" applyNumberFormat="1" applyFont="1" applyFill="1" applyBorder="1"/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centre" wrapText="1"/>
    </x:xf>
    <x:xf numFmtId="0" fontId="2" fillId="3" borderId="15" xfId="0" applyNumberFormat="1" applyFont="1" applyFill="1" applyBorder="1" applyAlignment="1">
      <x:alignment horizontal="centre" wrapText="1"/>
    </x:xf>
    <x:xf numFmtId="0" fontId="2" fillId="3" borderId="16" xfId="0" applyNumberFormat="1" applyFont="1" applyFill="1" applyBorder="1" applyAlignment="1">
      <x:alignment horizontal="centre" wrapText="1"/>
    </x:xf>
    <x:xf numFmtId="0" fontId="2" fillId="3" borderId="14" xfId="0" applyNumberFormat="1" applyFont="1" applyFill="1" applyBorder="1" applyAlignment="1">
      <x:alignment horizontal="centre" vertical="centre" wrapText="1"/>
    </x:xf>
    <x:xf numFmtId="0" fontId="2" fillId="3" borderId="15" xfId="0" applyNumberFormat="1" applyFont="1" applyFill="1" applyBorder="1" applyAlignment="1">
      <x:alignment horizontal="centre" vertical="centre" wrapText="1"/>
    </x:xf>
    <x:xf numFmtId="0" fontId="2" fillId="3" borderId="16" xfId="0" applyNumberFormat="1" applyFont="1" applyFill="1" applyBorder="1" applyAlignment="1">
      <x:alignment horizontal="centre" vertical="centre" wrapText="1"/>
    </x:xf>
    <x:xf numFmtId="0" fontId="2" fillId="3" borderId="17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horizontal="centre" wrapText="1"/>
    </x:xf>
    <x:xf numFmtId="0" fontId="2" fillId="3" borderId="18" xfId="0" applyNumberFormat="1" applyFont="1" applyFill="1" applyBorder="1" applyAlignment="1">
      <x:alignment horizontal="centre" wrapText="1"/>
    </x:xf>
    <x:xf numFmtId="0" fontId="2" fillId="3" borderId="19" xfId="0" applyNumberFormat="1" applyFont="1" applyFill="1" applyBorder="1" applyAlignment="1">
      <x:alignment horizontal="centre" wrapText="1"/>
    </x:xf>
    <x:xf numFmtId="0" fontId="2" fillId="3" borderId="17" xfId="0" applyNumberFormat="1" applyFont="1" applyFill="1" applyBorder="1" applyAlignment="1">
      <x:alignment horizontal="centre" vertical="centre" wrapText="1"/>
    </x:xf>
    <x:xf numFmtId="0" fontId="2" fillId="3" borderId="18" xfId="0" applyNumberFormat="1" applyFont="1" applyFill="1" applyBorder="1" applyAlignment="1">
      <x:alignment horizontal="centre" vertical="centre" wrapText="1"/>
    </x:xf>
    <x:xf numFmtId="0" fontId="2" fillId="3" borderId="19" xfId="0" applyNumberFormat="1" applyFont="1" applyFill="1" applyBorder="1" applyAlignment="1">
      <x:alignment horizontal="centre" vertical="centre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79f6e331074cb4" /><Relationship Type="http://schemas.openxmlformats.org/officeDocument/2006/relationships/theme" Target="/xl/theme/theme1.xml" Id="R265ab9359d344444" /><Relationship Type="http://schemas.openxmlformats.org/officeDocument/2006/relationships/sharedStrings" Target="/xl/sharedStrings.xml" Id="R9d8fdd97a239412e" /><Relationship Type="http://schemas.openxmlformats.org/officeDocument/2006/relationships/worksheet" Target="/xl/worksheets/sheet1.xml" Id="R6a1d54d31b944ccf" /><Relationship Type="http://schemas.openxmlformats.org/officeDocument/2006/relationships/worksheet" Target="/xl/worksheets/sheet2.xml" Id="Rd9789b9fadd14bad" /><Relationship Type="http://schemas.openxmlformats.org/officeDocument/2006/relationships/worksheet" Target="/xl/worksheets/sheet3.xml" Id="Rb8001445650f4cfd" /><Relationship Type="http://schemas.openxmlformats.org/officeDocument/2006/relationships/worksheet" Target="/xl/worksheets/sheet4.xml" Id="R70cd4ad02d084e4e" /></Relationships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5" t="str">
        <x:v>Remote Monitoring: Cost-Effectiveness, Budget Impact, and HTA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21" t="str">
        <x:v>Example ID</x:v>
      </x:c>
      <x:c r="B4" s="42" t="str">
        <x:v>AIHE-CASE07</x:v>
      </x:c>
    </x:row>
    <x:row r="5">
      <x:c r="A5" s="22" t="str">
        <x:v>Chapter</x:v>
      </x:c>
      <x:c r="B5" s="43" t="str">
        <x:v>7: Economic Evaluation, Affordability, and Health Technology Assessment</x:v>
      </x:c>
    </x:row>
    <x:row r="6">
      <x:c r="A6" s="22" t="str">
        <x:v>Decision question</x:v>
      </x:c>
      <x:c r="B6" s="43" t="str">
        <x:v>Can an intervention be cost-effective yet remain unaffordable or unsuitable for local adoption?</x:v>
      </x:c>
    </x:row>
    <x:row r="7">
      <x:c r="A7" s="22" t="str">
        <x:v>Status</x:v>
      </x:c>
      <x:c r="B7" s="43" t="str">
        <x:v>Synthetic demonstration only</x:v>
      </x:c>
    </x:row>
    <x:row r="8">
      <x:c r="A8" s="22" t="str">
        <x:v>Version</x:v>
      </x:c>
      <x:c r="B8" s="43" t="str">
        <x:v>V1.0</x:v>
      </x:c>
    </x:row>
    <x:row r="9">
      <x:c r="A9" s="22" t="str">
        <x:v>Release date</x:v>
      </x:c>
      <x:c r="B9" s="43" t="str">
        <x:v>2026-08-06</x:v>
      </x:c>
    </x:row>
    <x:row r="10">
      <x:c r="A10" s="22" t="str">
        <x:v>How to use</x:v>
      </x:c>
      <x:c r="B10" s="43" t="str">
        <x:v>Review Worked Inputs and Calculations; compare with Decision Summary; use Blank Template for local adaptation.</x:v>
      </x:c>
    </x:row>
    <x:row r="11">
      <x:c r="A11" s="22" t="str">
        <x:v>Related resources</x:v>
      </x:c>
      <x:c r="B11" s="43" t="str">
        <x:v>AIHE-B04, AIHE-AA, AIHE-EX18, AIHE-EX04, AIHE-AC</x:v>
      </x:c>
    </x:row>
    <x:row r="12">
      <x:c r="A12" s="23" t="str">
        <x:v>Data protection</x:v>
      </x:c>
      <x:c r="B12" s="44" t="str">
        <x:v>Do not enter identifiable patient information, credentials, private keys, or confidential contract information into uncontrolled copies.</x:v>
      </x:c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0" hidden="0" customWidth="1"/>
    <x:col min="5" max="5" width="34" hidden="0" customWidth="1"/>
    <x:col min="6" max="6" width="22" hidden="0" customWidth="1"/>
  </x:cols>
  <x:sheetData>
    <x:row r="1">
      <x:c r="A1" s="5" t="str">
        <x:v>Worked synthetic inputs and calculations</x:v>
      </x:c>
      <x:c r="B1" s="5"/>
      <x:c r="C1" s="5"/>
      <x:c r="D1" s="5"/>
      <x:c r="E1" s="5"/>
      <x:c r="F1" s="5"/>
      <x:c r="G1" s="5"/>
      <x:c r="H1" s="5"/>
    </x:row>
    <x:row r="3">
      <x:c r="A3" s="57" t="str">
        <x:v>Parameter</x:v>
      </x:c>
      <x:c r="B3" s="58" t="str">
        <x:v>Value</x:v>
      </x:c>
      <x:c r="C3" s="59" t="str">
        <x:v>Unit</x:v>
      </x:c>
      <x:c r="E3" s="57" t="str">
        <x:v>Calculation</x:v>
      </x:c>
      <x:c r="F3" s="59" t="str">
        <x:v>Formula result</x:v>
      </x:c>
    </x:row>
    <x:row r="4">
      <x:c r="A4" s="72" t="str">
        <x:v>Usual-care cost per patient</x:v>
      </x:c>
      <x:c r="B4" s="73" t="n">
        <x:v>1200</x:v>
      </x:c>
      <x:c r="C4" s="74" t="str">
        <x:v>currency</x:v>
      </x:c>
      <x:c r="E4" s="72" t="str">
        <x:v>Incremental cost</x:v>
      </x:c>
      <x:c r="F4" s="74" t="n">
        <x:f>B5-B4</x:f>
        <x:v>250</x:v>
      </x:c>
    </x:row>
    <x:row r="5">
      <x:c r="A5" s="75" t="str">
        <x:v>AI-pathway cost per patient</x:v>
      </x:c>
      <x:c r="B5" s="40" t="n">
        <x:v>1450</x:v>
      </x:c>
      <x:c r="C5" s="76" t="str">
        <x:v>currency</x:v>
      </x:c>
      <x:c r="E5" s="75" t="str">
        <x:v>Incremental QALYs</x:v>
      </x:c>
      <x:c r="F5" s="76" t="n">
        <x:f>B7-B6</x:f>
        <x:v>0.030000000000000027</x:v>
      </x:c>
    </x:row>
    <x:row r="6">
      <x:c r="A6" s="75" t="str">
        <x:v>Usual-care QALYs</x:v>
      </x:c>
      <x:c r="B6" s="40" t="n">
        <x:v>0.74</x:v>
      </x:c>
      <x:c r="C6" s="76" t="str">
        <x:v>QALY</x:v>
      </x:c>
      <x:c r="E6" s="75" t="str">
        <x:v>ICER</x:v>
      </x:c>
      <x:c r="F6" s="76" t="n">
        <x:f>F4/F5</x:f>
        <x:v>8333.333333333327</x:v>
      </x:c>
    </x:row>
    <x:row r="7">
      <x:c r="A7" s="75" t="str">
        <x:v>AI-pathway QALYs</x:v>
      </x:c>
      <x:c r="B7" s="40" t="n">
        <x:v>0.77</x:v>
      </x:c>
      <x:c r="C7" s="76" t="str">
        <x:v>QALY</x:v>
      </x:c>
      <x:c r="E7" s="75" t="str">
        <x:v>Net monetary benefit</x:v>
      </x:c>
      <x:c r="F7" s="76" t="n">
        <x:f>B8*F5-F4</x:f>
        <x:v>1250.0000000000014</x:v>
      </x:c>
    </x:row>
    <x:row r="8">
      <x:c r="A8" s="75" t="str">
        <x:v>Willingness-to-pay threshold</x:v>
      </x:c>
      <x:c r="B8" s="40" t="n">
        <x:v>50000</x:v>
      </x:c>
      <x:c r="C8" s="76" t="str">
        <x:v>currency/QALY</x:v>
      </x:c>
      <x:c r="E8" s="75" t="str">
        <x:v>Year-1 budget impact</x:v>
      </x:c>
      <x:c r="F8" s="76" t="n">
        <x:f>B13+B14+B9*B10*B15-B9*B10*B16*B17</x:f>
        <x:v>400000</x:v>
      </x:c>
    </x:row>
    <x:row r="9">
      <x:c r="A9" s="75" t="str">
        <x:v>Eligible population</x:v>
      </x:c>
      <x:c r="B9" s="40" t="n">
        <x:v>3000</x:v>
      </x:c>
      <x:c r="C9" s="76" t="str">
        <x:v>patients</x:v>
      </x:c>
      <x:c r="E9" s="75" t="str">
        <x:v>Year-2 budget impact</x:v>
      </x:c>
      <x:c r="F9" s="76" t="n">
        <x:f>B14+B9*B11*B15-B9*B11*B16*B17</x:f>
        <x:v>100000</x:v>
      </x:c>
    </x:row>
    <x:row r="10">
      <x:c r="A10" s="75" t="str">
        <x:v>Year-1 uptake</x:v>
      </x:c>
      <x:c r="B10" s="40" t="n">
        <x:v>0.3</x:v>
      </x:c>
      <x:c r="C10" s="76" t="str">
        <x:v>proportion</x:v>
      </x:c>
      <x:c r="E10" s="77" t="str">
        <x:v>Year-3 budget impact</x:v>
      </x:c>
      <x:c r="F10" s="79" t="n">
        <x:f>B14+B9*B12*B15-B9*B12*B16*B17</x:f>
        <x:v>100000</x:v>
      </x:c>
    </x:row>
    <x:row r="11">
      <x:c r="A11" s="75" t="str">
        <x:v>Year-2 uptake</x:v>
      </x:c>
      <x:c r="B11" s="40" t="n">
        <x:v>0.6</x:v>
      </x:c>
      <x:c r="C11" s="76" t="str">
        <x:v>proportion</x:v>
      </x:c>
    </x:row>
    <x:row r="12">
      <x:c r="A12" s="75" t="str">
        <x:v>Year-3 uptake</x:v>
      </x:c>
      <x:c r="B12" s="40" t="n">
        <x:v>0.8</x:v>
      </x:c>
      <x:c r="C12" s="76" t="str">
        <x:v>proportion</x:v>
      </x:c>
    </x:row>
    <x:row r="13">
      <x:c r="A13" s="75" t="str">
        <x:v>Implementation cost</x:v>
      </x:c>
      <x:c r="B13" s="40" t="n">
        <x:v>300000</x:v>
      </x:c>
      <x:c r="C13" s="76" t="str">
        <x:v>currency</x:v>
      </x:c>
    </x:row>
    <x:row r="14">
      <x:c r="A14" s="75" t="str">
        <x:v>Annual fixed programme cost</x:v>
      </x:c>
      <x:c r="B14" s="40" t="n">
        <x:v>100000</x:v>
      </x:c>
      <x:c r="C14" s="76" t="str">
        <x:v>currency</x:v>
      </x:c>
    </x:row>
    <x:row r="15">
      <x:c r="A15" s="75" t="str">
        <x:v>Variable monitoring cost</x:v>
      </x:c>
      <x:c r="B15" s="40" t="n">
        <x:v>250</x:v>
      </x:c>
      <x:c r="C15" s="76" t="str">
        <x:v>currency/patient</x:v>
      </x:c>
    </x:row>
    <x:row r="16">
      <x:c r="A16" s="75" t="str">
        <x:v>Avoided admission rate</x:v>
      </x:c>
      <x:c r="B16" s="40" t="n">
        <x:v>0.05</x:v>
      </x:c>
      <x:c r="C16" s="76" t="str">
        <x:v>admissions/patient</x:v>
      </x:c>
    </x:row>
    <x:row r="17">
      <x:c r="A17" s="77" t="str">
        <x:v>Cost per admission</x:v>
      </x:c>
      <x:c r="B17" s="78" t="n">
        <x:v>5000</x:v>
      </x:c>
      <x:c r="C17" s="79" t="str">
        <x:v>currency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2" hidden="0" customWidth="1"/>
  </x:cols>
  <x:sheetData>
    <x:row r="1">
      <x:c r="A1" s="5" t="str">
        <x:v>Blank template - replace synthetic values with governed local evidence</x:v>
      </x:c>
      <x:c r="B1" s="5"/>
      <x:c r="C1" s="5"/>
    </x:row>
    <x:row r="3">
      <x:c r="A3" s="57" t="str">
        <x:v>Parameter</x:v>
      </x:c>
      <x:c r="B3" s="58" t="str">
        <x:v>Value</x:v>
      </x:c>
      <x:c r="C3" s="59" t="str">
        <x:v>Unit</x:v>
      </x:c>
    </x:row>
    <x:row r="4">
      <x:c r="A4" s="72" t="str">
        <x:v>Usual-care cost per patient</x:v>
      </x:c>
      <x:c r="B4" s="73" t="str"/>
      <x:c r="C4" s="74" t="str">
        <x:v>currency</x:v>
      </x:c>
    </x:row>
    <x:row r="5">
      <x:c r="A5" s="75" t="str">
        <x:v>AI-pathway cost per patient</x:v>
      </x:c>
      <x:c r="B5" s="40" t="str"/>
      <x:c r="C5" s="76" t="str">
        <x:v>currency</x:v>
      </x:c>
    </x:row>
    <x:row r="6">
      <x:c r="A6" s="75" t="str">
        <x:v>Usual-care QALYs</x:v>
      </x:c>
      <x:c r="B6" s="40" t="str"/>
      <x:c r="C6" s="76" t="str">
        <x:v>QALY</x:v>
      </x:c>
    </x:row>
    <x:row r="7">
      <x:c r="A7" s="75" t="str">
        <x:v>AI-pathway QALYs</x:v>
      </x:c>
      <x:c r="B7" s="40" t="str"/>
      <x:c r="C7" s="76" t="str">
        <x:v>QALY</x:v>
      </x:c>
    </x:row>
    <x:row r="8">
      <x:c r="A8" s="75" t="str">
        <x:v>Willingness-to-pay threshold</x:v>
      </x:c>
      <x:c r="B8" s="40" t="str"/>
      <x:c r="C8" s="76" t="str">
        <x:v>currency/QALY</x:v>
      </x:c>
    </x:row>
    <x:row r="9">
      <x:c r="A9" s="75" t="str">
        <x:v>Eligible population</x:v>
      </x:c>
      <x:c r="B9" s="40" t="str"/>
      <x:c r="C9" s="76" t="str">
        <x:v>patients</x:v>
      </x:c>
    </x:row>
    <x:row r="10">
      <x:c r="A10" s="75" t="str">
        <x:v>Year-1 uptake</x:v>
      </x:c>
      <x:c r="B10" s="40" t="str"/>
      <x:c r="C10" s="76" t="str">
        <x:v>proportion</x:v>
      </x:c>
    </x:row>
    <x:row r="11">
      <x:c r="A11" s="75" t="str">
        <x:v>Year-2 uptake</x:v>
      </x:c>
      <x:c r="B11" s="40" t="str"/>
      <x:c r="C11" s="76" t="str">
        <x:v>proportion</x:v>
      </x:c>
    </x:row>
    <x:row r="12">
      <x:c r="A12" s="75" t="str">
        <x:v>Year-3 uptake</x:v>
      </x:c>
      <x:c r="B12" s="40" t="str"/>
      <x:c r="C12" s="76" t="str">
        <x:v>proportion</x:v>
      </x:c>
    </x:row>
    <x:row r="13">
      <x:c r="A13" s="75" t="str">
        <x:v>Implementation cost</x:v>
      </x:c>
      <x:c r="B13" s="40" t="str"/>
      <x:c r="C13" s="76" t="str">
        <x:v>currency</x:v>
      </x:c>
    </x:row>
    <x:row r="14">
      <x:c r="A14" s="75" t="str">
        <x:v>Annual fixed programme cost</x:v>
      </x:c>
      <x:c r="B14" s="40" t="str"/>
      <x:c r="C14" s="76" t="str">
        <x:v>currency</x:v>
      </x:c>
    </x:row>
    <x:row r="15">
      <x:c r="A15" s="75" t="str">
        <x:v>Variable monitoring cost</x:v>
      </x:c>
      <x:c r="B15" s="40" t="str"/>
      <x:c r="C15" s="76" t="str">
        <x:v>currency/patient</x:v>
      </x:c>
    </x:row>
    <x:row r="16">
      <x:c r="A16" s="75" t="str">
        <x:v>Avoided admission rate</x:v>
      </x:c>
      <x:c r="B16" s="40" t="str"/>
      <x:c r="C16" s="76" t="str">
        <x:v>admissions/patient</x:v>
      </x:c>
    </x:row>
    <x:row r="17">
      <x:c r="A17" s="77" t="str">
        <x:v>Cost per admission</x:v>
      </x:c>
      <x:c r="B17" s="78" t="str"/>
      <x:c r="C17" s="79" t="str">
        <x:v>currency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Remote Monitoring: Cost-Effectiveness, Budget Impact, and HTA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57" t="str">
        <x:v>Reference metric</x:v>
      </x:c>
      <x:c r="B4" s="59" t="str">
        <x:v>Synthetic result</x:v>
      </x:c>
    </x:row>
    <x:row r="5">
      <x:c r="A5" s="72" t="str">
        <x:v>ICER</x:v>
      </x:c>
      <x:c r="B5" s="74" t="str">
        <x:v>Approximately 8,333 per QALY</x:v>
      </x:c>
    </x:row>
    <x:row r="6">
      <x:c r="A6" s="75" t="str">
        <x:v>Economic conclusion</x:v>
      </x:c>
      <x:c r="B6" s="76" t="str">
        <x:v>Cost-effective at the synthetic threshold</x:v>
      </x:c>
    </x:row>
    <x:row r="7">
      <x:c r="A7" s="77" t="str">
        <x:v>Budget conclusion</x:v>
      </x:c>
      <x:c r="B7" s="79" t="str">
        <x:v>Positive cash requirement remains</x:v>
      </x:c>
    </x:row>
    <x:row r="9">
      <x:c r="A9" s="89" t="str">
        <x:v>Worked interpretation</x:v>
      </x:c>
      <x:c r="B9" s="89"/>
      <x:c r="C9" s="89"/>
      <x:c r="D9" s="89"/>
      <x:c r="E9" s="89"/>
      <x:c r="F9" s="89"/>
    </x:row>
    <x:row r="10">
      <x:c r="A10" s="94" t="str">
        <x:v>The incremental cost is 250 per patient and the modeled gain is 0.03 QALYs, producing an ICER of about 8,333 per QALY and positive net monetary benefit at a threshold of 50,000. The budget-impact result is different: implementation and uptake create a positive cash requirement. The recommended decision is conditional adoption with staged uptake, funded response capacity, reimbursement clarification, and monitoring of digital exclusion.</x:v>
      </x:c>
      <x:c r="B10" s="94"/>
      <x:c r="C10" s="94"/>
      <x:c r="D10" s="94"/>
      <x:c r="E10" s="94"/>
      <x:c r="F10" s="94"/>
    </x:row>
    <x:row r="11">
      <x:c r="A11" s="94"/>
      <x:c r="B11" s="94"/>
      <x:c r="C11" s="94"/>
      <x:c r="D11" s="94"/>
      <x:c r="E11" s="94"/>
      <x:c r="F11" s="94"/>
    </x:row>
    <x:row r="12">
      <x:c r="A12" s="94"/>
      <x:c r="B12" s="94"/>
      <x:c r="C12" s="94"/>
      <x:c r="D12" s="94"/>
      <x:c r="E12" s="94"/>
      <x:c r="F12" s="94"/>
    </x:row>
    <x:row r="13">
      <x:c r="A13" s="94"/>
      <x:c r="B13" s="94"/>
      <x:c r="C13" s="94"/>
      <x:c r="D13" s="94"/>
      <x:c r="E13" s="94"/>
      <x:c r="F13" s="94"/>
    </x:row>
    <x:row r="14">
      <x:c r="A14" s="94"/>
      <x:c r="B14" s="94"/>
      <x:c r="C14" s="94"/>
      <x:c r="D14" s="94"/>
      <x:c r="E14" s="94"/>
      <x:c r="F14" s="94"/>
    </x:row>
    <x:row r="16">
      <x:c r="A16" s="100" t="str">
        <x:v>Interpret calculations with evidence quality, uncertainty, mandatory safeguards, implementation capacity, monitoring, and exit conditions.</x:v>
      </x:c>
      <x:c r="B16" s="100"/>
      <x:c r="C16" s="100"/>
      <x:c r="D16" s="100"/>
      <x:c r="E16" s="100"/>
      <x:c r="F16" s="100"/>
    </x:row>
  </x:sheetData>
  <x:mergeCells>
    <x:mergeCell ref="A1:F2"/>
    <x:mergeCell ref="A9:F9"/>
    <x:mergeCell ref="A10:F14"/>
    <x:mergeCell ref="A16:F16"/>
  </x:mergeCells>
  <x:pageMargins left="0.7" right="0.7" top="0.75" bottom="0.75" header="0.3" footer="0.3"/>
</x:worksheet>
</file>