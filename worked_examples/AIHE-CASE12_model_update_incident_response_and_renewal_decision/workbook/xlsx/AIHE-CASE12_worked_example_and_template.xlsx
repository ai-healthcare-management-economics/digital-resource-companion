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975d12c58e4053" /></Relationships>
</file>

<file path=xl/workbook.xml><?xml version="1.0" encoding="utf-8"?>
<x:workbook xmlns:x="http://schemas.openxmlformats.org/spreadsheetml/2006/main">
  <x:sheets>
    <x:sheet xmlns:r="http://schemas.openxmlformats.org/officeDocument/2006/relationships" name="Guide" sheetId="1" r:id="R863844b3b3f545a9"/>
    <x:sheet xmlns:r="http://schemas.openxmlformats.org/officeDocument/2006/relationships" name="Worked Inputs" sheetId="2" r:id="R622ecf3a669248b6"/>
    <x:sheet xmlns:r="http://schemas.openxmlformats.org/officeDocument/2006/relationships" name="Blank Template" sheetId="3" r:id="R168b135115e944dd"/>
    <x:sheet xmlns:r="http://schemas.openxmlformats.org/officeDocument/2006/relationships" name="Decision Summary" sheetId="4" r:id="R49dd5b351f184a6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23313D"/>
      <x:name val="Carlito"/>
    </x:font>
    <x:font>
      <x:b/>
      <x:sz val="11"/>
      <x:color rgb="FFFFFFFF"/>
      <x:name val="Carlito"/>
    </x:font>
    <x:font>
      <x:i/>
      <x:sz val="11"/>
      <x:name val="Carlito"/>
    </x:font>
    <x:font>
      <x:b/>
      <x:sz val="11"/>
      <x:color rgb="FF303236"/>
      <x:name val="Carlito"/>
    </x:font>
  </x:fonts>
  <x:fills count="9">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
      <x:patternFill patternType="solid">
        <x:fgColor rgb="FF6B2230"/>
      </x:patternFill>
    </x:fill>
    <x:fill>
      <x:patternFill patternType="solid">
        <x:fgColor rgb="FFF5F0E7"/>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wrapText="1"/>
    </x:xf>
    <x:xf numFmtId="0" fontId="2" fillId="3" borderId="36" xfId="0" applyNumberFormat="1" applyFont="1" applyFill="1" applyBorder="1" applyAlignment="1">
      <x:alignment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wrapText="1"/>
    </x:xf>
    <x:xf numFmtId="0" fontId="2" fillId="3" borderId="3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wrapText="1"/>
    </x:xf>
    <x:xf numFmtId="0" fontId="2" fillId="8" borderId="2" xfId="0" applyNumberFormat="1" applyFont="1" applyFill="1" applyBorder="1" applyAlignment="1">
      <x:alignment wrapText="1"/>
    </x:xf>
    <x:xf numFmtId="0" fontId="5"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5"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5" fillId="8" borderId="4" xfId="0" applyNumberFormat="1" applyFont="1" applyFill="1" applyBorder="1" applyAlignment="1">
      <x:alignment wrapText="1"/>
    </x:xf>
    <x:xf numFmtId="0" fontId="2" fillId="8" borderId="14" xfId="0" applyNumberFormat="1" applyFont="1" applyFill="1" applyBorder="1" applyAlignment="1">
      <x:alignment wrapText="1"/>
    </x:xf>
    <x:xf numFmtId="0" fontId="2" fillId="8" borderId="15" xfId="0" applyNumberFormat="1" applyFont="1" applyFill="1" applyBorder="1" applyAlignment="1">
      <x:alignment wrapText="1"/>
    </x:xf>
    <x:xf numFmtId="0" fontId="2" fillId="8" borderId="16" xfId="0" applyNumberFormat="1" applyFont="1" applyFill="1" applyBorder="1" applyAlignment="1">
      <x:alignment wrapText="1"/>
    </x:xf>
    <x:xf numFmtId="0" fontId="2" fillId="8" borderId="36" xfId="0" applyNumberFormat="1" applyFont="1" applyFill="1" applyBorder="1" applyAlignment="1">
      <x:alignment wrapText="1"/>
    </x:xf>
    <x:xf numFmtId="0" fontId="5" fillId="8" borderId="14" xfId="0" applyNumberFormat="1" applyFont="1" applyFill="1" applyBorder="1" applyAlignment="1">
      <x:alignment wrapText="1"/>
    </x:xf>
    <x:xf numFmtId="0" fontId="5" fillId="8" borderId="15" xfId="0" applyNumberFormat="1" applyFont="1" applyFill="1" applyBorder="1" applyAlignment="1">
      <x:alignment wrapText="1"/>
    </x:xf>
    <x:xf numFmtId="0" fontId="5" fillId="8" borderId="16" xfId="0" applyNumberFormat="1" applyFont="1" applyFill="1" applyBorder="1" applyAlignment="1">
      <x:alignment wrapText="1"/>
    </x:xf>
    <x:xf numFmtId="0" fontId="5" fillId="8" borderId="36" xfId="0" applyNumberFormat="1" applyFont="1" applyFill="1" applyBorder="1" applyAlignment="1">
      <x:alignment wrapText="1"/>
    </x:xf>
    <x:xf numFmtId="0" fontId="3" fillId="7" borderId="0" xfId="0" applyNumberFormat="1" applyFont="1" applyFill="1" applyBorder="1"/>
    <x:xf numFmtId="0" fontId="0" fillId="8" borderId="0" xfId="0" applyNumberFormat="1" applyFont="1" applyFill="1" applyBorder="1" applyAlignment="1">
      <x:alignment vertical="top" wrapText="1"/>
    </x:xf>
    <x:xf numFmtId="0" fontId="4"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83866c7d32444f" /><Relationship Type="http://schemas.openxmlformats.org/officeDocument/2006/relationships/theme" Target="/xl/theme/theme1.xml" Id="R836eab1a3b854fb1" /><Relationship Type="http://schemas.openxmlformats.org/officeDocument/2006/relationships/sharedStrings" Target="/xl/sharedStrings.xml" Id="R35a32b7543f04d6c" /><Relationship Type="http://schemas.openxmlformats.org/officeDocument/2006/relationships/worksheet" Target="/xl/worksheets/sheet1.xml" Id="R863844b3b3f545a9" /><Relationship Type="http://schemas.openxmlformats.org/officeDocument/2006/relationships/worksheet" Target="/xl/worksheets/sheet2.xml" Id="R622ecf3a669248b6" /><Relationship Type="http://schemas.openxmlformats.org/officeDocument/2006/relationships/worksheet" Target="/xl/worksheets/sheet3.xml" Id="R168b135115e944dd" /><Relationship Type="http://schemas.openxmlformats.org/officeDocument/2006/relationships/worksheet" Target="/xl/worksheets/sheet4.xml" Id="R49dd5b351f184a65"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110" t="str">
        <x:v>Model Update, Incident Response, and Renewal Decision</x:v>
      </x:c>
      <x:c r="B1" s="110"/>
      <x:c r="C1" s="110"/>
      <x:c r="D1" s="110"/>
      <x:c r="E1" s="110"/>
      <x:c r="F1" s="110"/>
    </x:row>
    <x:row r="2">
      <x:c r="A2" s="110"/>
      <x:c r="B2" s="110"/>
      <x:c r="C2" s="110"/>
      <x:c r="D2" s="110"/>
      <x:c r="E2" s="110"/>
      <x:c r="F2" s="110"/>
    </x:row>
    <x:row r="4">
      <x:c r="A4" s="112" t="str">
        <x:v>Example ID</x:v>
      </x:c>
      <x:c r="B4" s="42" t="str">
        <x:v>AIHE-CASE12</x:v>
      </x:c>
    </x:row>
    <x:row r="5">
      <x:c r="A5" s="114" t="str">
        <x:v>Chapter</x:v>
      </x:c>
      <x:c r="B5" s="43" t="str">
        <x:v>12: Decision Architecture and Lifecycle Governance</x:v>
      </x:c>
    </x:row>
    <x:row r="6">
      <x:c r="A6" s="114" t="str">
        <x:v>Decision question</x:v>
      </x:c>
      <x:c r="B6" s="43" t="str">
        <x:v>Should the organization continue, restrict, roll back, replace, or retire the system after a material update and operational incident?</x:v>
      </x:c>
    </x:row>
    <x:row r="7">
      <x:c r="A7" s="114" t="str">
        <x:v>Status</x:v>
      </x:c>
      <x:c r="B7" s="43" t="str">
        <x:v>Synthetic demonstration only</x:v>
      </x:c>
    </x:row>
    <x:row r="8">
      <x:c r="A8" s="114" t="str">
        <x:v>Version</x:v>
      </x:c>
      <x:c r="B8" s="43" t="str">
        <x:v>V1.0</x:v>
      </x:c>
    </x:row>
    <x:row r="9">
      <x:c r="A9" s="114" t="str">
        <x:v>Release date</x:v>
      </x:c>
      <x:c r="B9" s="43" t="str">
        <x:v>2026-08-06</x:v>
      </x:c>
    </x:row>
    <x:row r="10">
      <x:c r="A10" s="114" t="str">
        <x:v>How to use</x:v>
      </x:c>
      <x:c r="B10" s="43" t="str">
        <x:v>Review Worked Inputs and Calculations; compare with Decision Summary; use Blank Template for local adaptation.</x:v>
      </x:c>
    </x:row>
    <x:row r="11">
      <x:c r="A11" s="114" t="str">
        <x:v>Related resources</x:v>
      </x:c>
      <x:c r="B11" s="43" t="str">
        <x:v>AIHE-D02, AIHE-D03, AIHE-D04, AIHE-D05, AIHE-S, AIHE-EX11, AIHE-EX12</x:v>
      </x:c>
    </x:row>
    <x:row r="12">
      <x:c r="A12" s="116"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18" hidden="0" customWidth="1"/>
    <x:col min="7" max="7" width="22" hidden="0" customWidth="1"/>
    <x:col min="8" max="8" width="56" hidden="0" customWidth="1"/>
  </x:cols>
  <x:sheetData>
    <x:row r="1">
      <x:c r="A1" s="110" t="str">
        <x:v>Worked synthetic inputs and calculations</x:v>
      </x:c>
      <x:c r="B1" s="110"/>
      <x:c r="C1" s="110"/>
      <x:c r="D1" s="110"/>
      <x:c r="E1" s="110"/>
      <x:c r="F1" s="110"/>
      <x:c r="G1" s="110"/>
      <x:c r="H1" s="110"/>
      <x:c r="I1" s="110"/>
    </x:row>
    <x:row r="3">
      <x:c r="A3" s="121" t="str">
        <x:v>Metric</x:v>
      </x:c>
      <x:c r="B3" s="122" t="str">
        <x:v>Version 2.3.1</x:v>
      </x:c>
      <x:c r="C3" s="122" t="str">
        <x:v>Version 2.4.0</x:v>
      </x:c>
      <x:c r="D3" s="123" t="str">
        <x:v>Threshold</x:v>
      </x:c>
      <x:c r="E3" s="124" t="str">
        <x:v>Threshold breach</x:v>
      </x:c>
      <x:c r="G3" s="121" t="str">
        <x:v>Summary</x:v>
      </x:c>
      <x:c r="H3" s="123" t="str">
        <x:v>Formula result</x:v>
      </x:c>
    </x:row>
    <x:row r="4">
      <x:c r="A4" s="72" t="str">
        <x:v>False-positive rate</x:v>
      </x:c>
      <x:c r="B4" s="73" t="n">
        <x:v>0.18</x:v>
      </x:c>
      <x:c r="C4" s="73" t="n">
        <x:v>0.32</x:v>
      </x:c>
      <x:c r="D4" s="74" t="n">
        <x:v>0.26</x:v>
      </x:c>
      <x:c r="E4" s="42" t="str">
        <x:f>IF(C4&gt;D4,"BREACH","")</x:f>
        <x:v>BREACH</x:v>
      </x:c>
      <x:c r="G4" s="72" t="str">
        <x:v>Breached controls</x:v>
      </x:c>
      <x:c r="H4" s="74" t="n">
        <x:f>COUNTIF(E4:E9,"BREACH")</x:f>
        <x:v>4</x:v>
      </x:c>
    </x:row>
    <x:row r="5">
      <x:c r="A5" s="75" t="str">
        <x:v>Alerts per day</x:v>
      </x:c>
      <x:c r="B5" s="40" t="n">
        <x:v>120</x:v>
      </x:c>
      <x:c r="C5" s="40" t="n">
        <x:v>210</x:v>
      </x:c>
      <x:c r="D5" s="76" t="n">
        <x:v>150</x:v>
      </x:c>
      <x:c r="E5" s="43" t="str">
        <x:f>IF(C5&gt;D5,"BREACH","")</x:f>
        <x:v>BREACH</x:v>
      </x:c>
      <x:c r="G5" s="77" t="str">
        <x:v>Decision</x:v>
      </x:c>
      <x:c r="H5" s="79" t="str">
        <x:f>IF(H4&gt;0,"Restrict and roll back where safe; revalidate before restart","Continue enhanced monitoring")</x:f>
        <x:v>Restrict and roll back where safe; revalidate before restart</x:v>
      </x:c>
    </x:row>
    <x:row r="6">
      <x:c r="A6" s="75" t="str">
        <x:v>Review capacity per day</x:v>
      </x:c>
      <x:c r="B6" s="40" t="n">
        <x:v>150</x:v>
      </x:c>
      <x:c r="C6" s="40" t="n">
        <x:v>150</x:v>
      </x:c>
      <x:c r="D6" s="76" t="n">
        <x:v>150</x:v>
      </x:c>
      <x:c r="E6" s="43" t="str">
        <x:f>IF(C6&gt;D6,"BREACH","")</x:f>
      </x:c>
    </x:row>
    <x:row r="7">
      <x:c r="A7" s="75" t="str">
        <x:v>Median response time (minutes)</x:v>
      </x:c>
      <x:c r="B7" s="40" t="n">
        <x:v>12</x:v>
      </x:c>
      <x:c r="C7" s="40" t="n">
        <x:v>28</x:v>
      </x:c>
      <x:c r="D7" s="76" t="n">
        <x:v>20</x:v>
      </x:c>
      <x:c r="E7" s="43" t="str">
        <x:f>IF(C7&gt;D7,"BREACH","")</x:f>
        <x:v>BREACH</x:v>
      </x:c>
    </x:row>
    <x:row r="8">
      <x:c r="A8" s="75" t="str">
        <x:v>Near misses per month</x:v>
      </x:c>
      <x:c r="B8" s="40" t="n">
        <x:v>0</x:v>
      </x:c>
      <x:c r="C8" s="40" t="n">
        <x:v>3</x:v>
      </x:c>
      <x:c r="D8" s="76" t="n">
        <x:v>0</x:v>
      </x:c>
      <x:c r="E8" s="43" t="str">
        <x:f>IF(C8&gt;D8,"BREACH","")</x:f>
        <x:v>BREACH</x:v>
      </x:c>
    </x:row>
    <x:row r="9">
      <x:c r="A9" s="77" t="str">
        <x:v>Downtime hours per month</x:v>
      </x:c>
      <x:c r="B9" s="78" t="n">
        <x:v>1</x:v>
      </x:c>
      <x:c r="C9" s="78" t="n">
        <x:v>1.5</x:v>
      </x:c>
      <x:c r="D9" s="79" t="n">
        <x:v>4</x:v>
      </x:c>
      <x:c r="E9" s="44" t="str">
        <x:f>IF(C9&gt;D9,"BREACH","")</x:f>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s>
  <x:sheetData>
    <x:row r="1">
      <x:c r="A1" s="110" t="str">
        <x:v>Blank template - replace synthetic values with governed local evidence</x:v>
      </x:c>
      <x:c r="B1" s="110"/>
      <x:c r="C1" s="110"/>
      <x:c r="D1" s="110"/>
    </x:row>
    <x:row r="3">
      <x:c r="A3" s="121" t="str">
        <x:v>Metric</x:v>
      </x:c>
      <x:c r="B3" s="122" t="str">
        <x:v>Version 2.3.1</x:v>
      </x:c>
      <x:c r="C3" s="122" t="str">
        <x:v>Version 2.4.0</x:v>
      </x:c>
      <x:c r="D3" s="123" t="str">
        <x:v>Threshold</x:v>
      </x:c>
    </x:row>
    <x:row r="4">
      <x:c r="A4" s="72" t="str">
        <x:v>False-positive rate</x:v>
      </x:c>
      <x:c r="B4" s="73" t="str"/>
      <x:c r="C4" s="73" t="str"/>
      <x:c r="D4" s="74" t="n">
        <x:v>0.26</x:v>
      </x:c>
    </x:row>
    <x:row r="5">
      <x:c r="A5" s="75" t="str">
        <x:v>Alerts per day</x:v>
      </x:c>
      <x:c r="B5" s="40" t="str"/>
      <x:c r="C5" s="40" t="str"/>
      <x:c r="D5" s="76" t="n">
        <x:v>150</x:v>
      </x:c>
    </x:row>
    <x:row r="6">
      <x:c r="A6" s="75" t="str">
        <x:v>Review capacity per day</x:v>
      </x:c>
      <x:c r="B6" s="40" t="str"/>
      <x:c r="C6" s="40" t="str"/>
      <x:c r="D6" s="76" t="n">
        <x:v>150</x:v>
      </x:c>
    </x:row>
    <x:row r="7">
      <x:c r="A7" s="75" t="str">
        <x:v>Median response time (minutes)</x:v>
      </x:c>
      <x:c r="B7" s="40" t="str"/>
      <x:c r="C7" s="40" t="str"/>
      <x:c r="D7" s="76" t="n">
        <x:v>20</x:v>
      </x:c>
    </x:row>
    <x:row r="8">
      <x:c r="A8" s="75" t="str">
        <x:v>Near misses per month</x:v>
      </x:c>
      <x:c r="B8" s="40" t="str"/>
      <x:c r="C8" s="40" t="str"/>
      <x:c r="D8" s="76" t="n">
        <x:v>0</x:v>
      </x:c>
    </x:row>
    <x:row r="9">
      <x:c r="A9" s="77" t="str">
        <x:v>Downtime hours per month</x:v>
      </x:c>
      <x:c r="B9" s="78" t="str"/>
      <x:c r="C9" s="78" t="str"/>
      <x:c r="D9" s="79" t="n">
        <x:v>4</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110" t="str">
        <x:v>Model Update, Incident Response, and Renewal Decision</x:v>
      </x:c>
      <x:c r="B1" s="110"/>
      <x:c r="C1" s="110"/>
      <x:c r="D1" s="110"/>
      <x:c r="E1" s="110"/>
      <x:c r="F1" s="110"/>
    </x:row>
    <x:row r="2">
      <x:c r="A2" s="110"/>
      <x:c r="B2" s="110"/>
      <x:c r="C2" s="110"/>
      <x:c r="D2" s="110"/>
      <x:c r="E2" s="110"/>
      <x:c r="F2" s="110"/>
    </x:row>
    <x:row r="4">
      <x:c r="A4" s="121" t="str">
        <x:v>Reference metric</x:v>
      </x:c>
      <x:c r="B4" s="123" t="str">
        <x:v>Synthetic result</x:v>
      </x:c>
    </x:row>
    <x:row r="5">
      <x:c r="A5" s="72" t="str">
        <x:v>Breached controls</x:v>
      </x:c>
      <x:c r="B5" s="74" t="str">
        <x:v>False positives, alert volume, response time, near misses</x:v>
      </x:c>
    </x:row>
    <x:row r="6">
      <x:c r="A6" s="77" t="str">
        <x:v>Decision</x:v>
      </x:c>
      <x:c r="B6" s="79" t="str">
        <x:v>Restrict, roll back, reconstruct, and revalidate</x:v>
      </x:c>
    </x:row>
    <x:row r="8">
      <x:c r="A8" s="125" t="str">
        <x:v>Worked interpretation</x:v>
      </x:c>
      <x:c r="B8" s="125"/>
      <x:c r="C8" s="125"/>
      <x:c r="D8" s="125"/>
      <x:c r="E8" s="125"/>
      <x:c r="F8" s="125"/>
    </x:row>
    <x:row r="9">
      <x:c r="A9" s="126" t="str">
        <x:v>Version 2.4.0 breaches false-positive, alert-volume, response-time, and near-miss thresholds. Use should be restricted immediately, evidence preserved, and rollback to 2.3.1 performed where safe. Restart should depend on local testing of the model, interface, threshold, and workflow under realistic capacity. Renewal should require improved update notice, audit access, rollback support, and effectiveness evidence.</x:v>
      </x:c>
      <x:c r="B9" s="126"/>
      <x:c r="C9" s="126"/>
      <x:c r="D9" s="126"/>
      <x:c r="E9" s="126"/>
      <x:c r="F9" s="126"/>
    </x:row>
    <x:row r="10">
      <x:c r="A10" s="126"/>
      <x:c r="B10" s="126"/>
      <x:c r="C10" s="126"/>
      <x:c r="D10" s="126"/>
      <x:c r="E10" s="126"/>
      <x:c r="F10" s="126"/>
    </x:row>
    <x:row r="11">
      <x:c r="A11" s="126"/>
      <x:c r="B11" s="126"/>
      <x:c r="C11" s="126"/>
      <x:c r="D11" s="126"/>
      <x:c r="E11" s="126"/>
      <x:c r="F11" s="126"/>
    </x:row>
    <x:row r="12">
      <x:c r="A12" s="126"/>
      <x:c r="B12" s="126"/>
      <x:c r="C12" s="126"/>
      <x:c r="D12" s="126"/>
      <x:c r="E12" s="126"/>
      <x:c r="F12" s="126"/>
    </x:row>
    <x:row r="13">
      <x:c r="A13" s="126"/>
      <x:c r="B13" s="126"/>
      <x:c r="C13" s="126"/>
      <x:c r="D13" s="126"/>
      <x:c r="E13" s="126"/>
      <x:c r="F13" s="126"/>
    </x:row>
    <x:row r="15">
      <x:c r="A15" s="127" t="str">
        <x:v>Interpret calculations with evidence quality, uncertainty, mandatory safeguards, implementation capacity, monitoring, and exit conditions.</x:v>
      </x:c>
      <x:c r="B15" s="127"/>
      <x:c r="C15" s="127"/>
      <x:c r="D15" s="127"/>
      <x:c r="E15" s="127"/>
      <x:c r="F15" s="127"/>
    </x:row>
  </x:sheetData>
  <x:mergeCells>
    <x:mergeCell ref="A1:F2"/>
    <x:mergeCell ref="A8:F8"/>
    <x:mergeCell ref="A9:F13"/>
    <x:mergeCell ref="A15:F15"/>
  </x:mergeCells>
  <x:pageMargins left="0.7" right="0.7" top="0.75" bottom="0.75" header="0.3" footer="0.3"/>
</x: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itle>Digital Resource Companion</dc:title>
  <dc:subject>Healthcare management, economics, evidence, and lifecycle governance</dc:subject>
  <dc:creator>Muthana Zouri; Carmen Marinela Cumpăt</dc:creator>
  <cp:lastModifiedBy/>
  <cp:revision>1</cp:revision>
</cp:coreProperties>
</file>