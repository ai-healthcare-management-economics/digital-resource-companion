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591d2811704804" /></Relationships>
</file>

<file path=xl/workbook.xml><?xml version="1.0" encoding="utf-8"?>
<x:workbook xmlns:x="http://schemas.openxmlformats.org/spreadsheetml/2006/main">
  <x:sheets>
    <x:sheet xmlns:r="http://schemas.openxmlformats.org/officeDocument/2006/relationships" name="Guide" sheetId="1" r:id="R973ded80246d433e"/>
    <x:sheet xmlns:r="http://schemas.openxmlformats.org/officeDocument/2006/relationships" name="Worked Inputs" sheetId="2" r:id="Rd289a60caa904928"/>
    <x:sheet xmlns:r="http://schemas.openxmlformats.org/officeDocument/2006/relationships" name="Blank Template" sheetId="3" r:id="R18a67e22e4b1463c"/>
    <x:sheet xmlns:r="http://schemas.openxmlformats.org/officeDocument/2006/relationships" name="Decision Summary" sheetId="4" r:id="R86931d00cd8c454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23313D"/>
      <x:name val="Carlito"/>
    </x:font>
    <x:font>
      <x:b/>
      <x:sz val="11"/>
      <x:color rgb="FFFFFFFF"/>
      <x:name val="Carlito"/>
    </x:font>
    <x:font>
      <x:i/>
      <x:sz val="11"/>
      <x:name val="Carlito"/>
    </x:font>
    <x:font>
      <x:b/>
      <x:sz val="11"/>
      <x:color rgb="FF303236"/>
      <x:name val="Carlito"/>
    </x:font>
  </x:fonts>
  <x:fills count="9">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
      <x:patternFill patternType="solid">
        <x:fgColor rgb="FF6B2230"/>
      </x:patternFill>
    </x:fill>
    <x:fill>
      <x:patternFill patternType="solid">
        <x:fgColor rgb="FFF5F0E7"/>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0" borderId="0" xfId="0" applyNumberFormat="1" applyFont="1" applyFill="1" applyBorder="1"/>
    <x:xf numFmtId="0" fontId="1" fillId="7" borderId="0" xfId="0" applyNumberFormat="1" applyFont="1" applyFill="1" applyBorder="1" applyAlignment="1">
      <x:alignment wrapText="1"/>
    </x:xf>
    <x:xf numFmtId="0" fontId="2" fillId="8" borderId="2" xfId="0" applyNumberFormat="1" applyFont="1" applyFill="1" applyBorder="1" applyAlignment="1">
      <x:alignment wrapText="1"/>
    </x:xf>
    <x:xf numFmtId="0" fontId="5"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5"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5" fillId="8" borderId="4" xfId="0" applyNumberFormat="1" applyFont="1" applyFill="1" applyBorder="1" applyAlignment="1">
      <x:alignment wrapText="1"/>
    </x:xf>
    <x:xf numFmtId="0" fontId="2" fillId="8" borderId="14" xfId="0" applyNumberFormat="1" applyFont="1" applyFill="1" applyBorder="1" applyAlignment="1">
      <x:alignment wrapText="1"/>
    </x:xf>
    <x:xf numFmtId="0" fontId="2" fillId="8" borderId="15" xfId="0" applyNumberFormat="1" applyFont="1" applyFill="1" applyBorder="1" applyAlignment="1">
      <x:alignment wrapText="1"/>
    </x:xf>
    <x:xf numFmtId="0" fontId="2" fillId="8" borderId="16" xfId="0" applyNumberFormat="1" applyFont="1" applyFill="1" applyBorder="1" applyAlignment="1">
      <x:alignment wrapText="1"/>
    </x:xf>
    <x:xf numFmtId="0" fontId="5" fillId="8" borderId="14" xfId="0" applyNumberFormat="1" applyFont="1" applyFill="1" applyBorder="1" applyAlignment="1">
      <x:alignment wrapText="1"/>
    </x:xf>
    <x:xf numFmtId="0" fontId="5" fillId="8" borderId="15" xfId="0" applyNumberFormat="1" applyFont="1" applyFill="1" applyBorder="1" applyAlignment="1">
      <x:alignment wrapText="1"/>
    </x:xf>
    <x:xf numFmtId="0" fontId="5" fillId="8" borderId="16" xfId="0" applyNumberFormat="1" applyFont="1" applyFill="1" applyBorder="1" applyAlignment="1">
      <x:alignment wrapText="1"/>
    </x:xf>
    <x:xf numFmtId="0" fontId="3" fillId="7" borderId="0" xfId="0" applyNumberFormat="1" applyFont="1" applyFill="1" applyBorder="1"/>
    <x:xf numFmtId="0" fontId="0" fillId="8" borderId="0" xfId="0" applyNumberFormat="1" applyFont="1" applyFill="1" applyBorder="1" applyAlignment="1">
      <x:alignment vertical="top" wrapText="1"/>
    </x:xf>
    <x:xf numFmtId="0" fontId="4" fillId="8"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a1c52c36874365" /><Relationship Type="http://schemas.openxmlformats.org/officeDocument/2006/relationships/theme" Target="/xl/theme/theme1.xml" Id="R15d90c0b912d4673" /><Relationship Type="http://schemas.openxmlformats.org/officeDocument/2006/relationships/sharedStrings" Target="/xl/sharedStrings.xml" Id="R7d86913799cd456a" /><Relationship Type="http://schemas.openxmlformats.org/officeDocument/2006/relationships/worksheet" Target="/xl/worksheets/sheet1.xml" Id="R973ded80246d433e" /><Relationship Type="http://schemas.openxmlformats.org/officeDocument/2006/relationships/worksheet" Target="/xl/worksheets/sheet2.xml" Id="Rd289a60caa904928" /><Relationship Type="http://schemas.openxmlformats.org/officeDocument/2006/relationships/worksheet" Target="/xl/worksheets/sheet3.xml" Id="R18a67e22e4b1463c" /><Relationship Type="http://schemas.openxmlformats.org/officeDocument/2006/relationships/worksheet" Target="/xl/worksheets/sheet4.xml" Id="R86931d00cd8c4548"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102" t="str">
        <x:v>AI Vendor Procurement and Contract Negotiation</x:v>
      </x:c>
      <x:c r="B1" s="102"/>
      <x:c r="C1" s="102"/>
      <x:c r="D1" s="102"/>
      <x:c r="E1" s="102"/>
      <x:c r="F1" s="102"/>
    </x:row>
    <x:row r="2">
      <x:c r="A2" s="102"/>
      <x:c r="B2" s="102"/>
      <x:c r="C2" s="102"/>
      <x:c r="D2" s="102"/>
      <x:c r="E2" s="102"/>
      <x:c r="F2" s="102"/>
    </x:row>
    <x:row r="4">
      <x:c r="A4" s="104" t="str">
        <x:v>Example ID</x:v>
      </x:c>
      <x:c r="B4" s="42" t="str">
        <x:v>AIHE-CASE09</x:v>
      </x:c>
    </x:row>
    <x:row r="5">
      <x:c r="A5" s="106" t="str">
        <x:v>Chapter</x:v>
      </x:c>
      <x:c r="B5" s="43" t="str">
        <x:v>9: Problem-First Procurement and Vendor Governance</x:v>
      </x:c>
    </x:row>
    <x:row r="6">
      <x:c r="A6" s="106" t="str">
        <x:v>Decision question</x:v>
      </x:c>
      <x:c r="B6" s="43" t="str">
        <x:v>How should the hospital compare vendors when a lower price is accompanied by weak audit, security, update, and exit provisions?</x:v>
      </x:c>
    </x:row>
    <x:row r="7">
      <x:c r="A7" s="106" t="str">
        <x:v>Status</x:v>
      </x:c>
      <x:c r="B7" s="43" t="str">
        <x:v>Synthetic demonstration only</x:v>
      </x:c>
    </x:row>
    <x:row r="8">
      <x:c r="A8" s="106" t="str">
        <x:v>Version</x:v>
      </x:c>
      <x:c r="B8" s="43" t="str">
        <x:v>V1.0</x:v>
      </x:c>
    </x:row>
    <x:row r="9">
      <x:c r="A9" s="106" t="str">
        <x:v>Release date</x:v>
      </x:c>
      <x:c r="B9" s="43" t="str">
        <x:v>2026-08-06</x:v>
      </x:c>
    </x:row>
    <x:row r="10">
      <x:c r="A10" s="106" t="str">
        <x:v>How to use</x:v>
      </x:c>
      <x:c r="B10" s="43" t="str">
        <x:v>Review Worked Inputs and Calculations; compare with Decision Summary; use Blank Template for local adaptation.</x:v>
      </x:c>
    </x:row>
    <x:row r="11">
      <x:c r="A11" s="106" t="str">
        <x:v>Related resources</x:v>
      </x:c>
      <x:c r="B11" s="43" t="str">
        <x:v>AIHE-D01, AIHE-D, AIHE-EX08, AIHE-EX09, AIHE-Q, AIHE-EX17</x:v>
      </x:c>
    </x:row>
    <x:row r="12">
      <x:c r="A12" s="108"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18" hidden="0" customWidth="1"/>
    <x:col min="7" max="7" width="18" hidden="0" customWidth="1"/>
    <x:col min="8" max="8" width="20" hidden="0" customWidth="1"/>
    <x:col min="9" max="9" width="20" hidden="0" customWidth="1"/>
    <x:col min="11" max="11" width="22" hidden="0" customWidth="1"/>
    <x:col min="12" max="12" width="18" hidden="0" customWidth="1"/>
  </x:cols>
  <x:sheetData>
    <x:row r="1">
      <x:c r="A1" s="102" t="str">
        <x:v>Worked synthetic inputs and calculations</x:v>
      </x:c>
      <x:c r="B1" s="102"/>
      <x:c r="C1" s="102"/>
      <x:c r="D1" s="102"/>
      <x:c r="E1" s="102"/>
      <x:c r="F1" s="102"/>
      <x:c r="G1" s="102"/>
      <x:c r="H1" s="102"/>
      <x:c r="I1" s="102"/>
      <x:c r="J1" s="102"/>
    </x:row>
    <x:row r="3">
      <x:c r="A3" s="112" t="str">
        <x:v>Criterion</x:v>
      </x:c>
      <x:c r="B3" s="113" t="str">
        <x:v>Weight</x:v>
      </x:c>
      <x:c r="C3" s="113" t="str">
        <x:v>Vendor A score</x:v>
      </x:c>
      <x:c r="D3" s="113" t="str">
        <x:v>Vendor B score</x:v>
      </x:c>
      <x:c r="E3" s="114" t="str">
        <x:v>Mandatory</x:v>
      </x:c>
      <x:c r="F3" s="112" t="str">
        <x:v>Vendor A weighted</x:v>
      </x:c>
      <x:c r="G3" s="113" t="str">
        <x:v>Vendor B weighted</x:v>
      </x:c>
      <x:c r="H3" s="113" t="str">
        <x:v>A safeguard failure</x:v>
      </x:c>
      <x:c r="I3" s="114" t="str">
        <x:v>B safeguard failure</x:v>
      </x:c>
      <x:c r="K3" s="112" t="str">
        <x:v>Summary</x:v>
      </x:c>
      <x:c r="L3" s="114" t="str">
        <x:v>Formula result</x:v>
      </x:c>
    </x:row>
    <x:row r="4">
      <x:c r="A4" s="72" t="str">
        <x:v>Problem and workflow fit</x:v>
      </x:c>
      <x:c r="B4" s="73" t="n">
        <x:v>0.15</x:v>
      </x:c>
      <x:c r="C4" s="73" t="n">
        <x:v>4</x:v>
      </x:c>
      <x:c r="D4" s="73" t="n">
        <x:v>4</x:v>
      </x:c>
      <x:c r="E4" s="74" t="str">
        <x:v>No</x:v>
      </x:c>
      <x:c r="F4" s="72" t="n">
        <x:f>B4*C4</x:f>
        <x:v>0.6</x:v>
      </x:c>
      <x:c r="G4" s="73" t="n">
        <x:f>B4*D4</x:f>
        <x:v>0.6</x:v>
      </x:c>
      <x:c r="H4" s="73" t="str">
        <x:f>IF(AND(E4="Yes",C4&lt;3),"FAIL","")</x:f>
      </x:c>
      <x:c r="I4" s="74" t="str">
        <x:f>IF(AND(E4="Yes",D4&lt;3),"FAIL","")</x:f>
      </x:c>
      <x:c r="K4" s="72" t="str">
        <x:v>Vendor A score</x:v>
      </x:c>
      <x:c r="L4" s="74" t="n">
        <x:f>SUM(F4:F12)</x:f>
        <x:v>2.17</x:v>
      </x:c>
    </x:row>
    <x:row r="5">
      <x:c r="A5" s="75" t="str">
        <x:v>External and local evidence</x:v>
      </x:c>
      <x:c r="B5" s="40" t="n">
        <x:v>0.15</x:v>
      </x:c>
      <x:c r="C5" s="40" t="n">
        <x:v>3</x:v>
      </x:c>
      <x:c r="D5" s="40" t="n">
        <x:v>4</x:v>
      </x:c>
      <x:c r="E5" s="76" t="str">
        <x:v>No</x:v>
      </x:c>
      <x:c r="F5" s="75" t="n">
        <x:f>B5*C5</x:f>
        <x:v>0.44999999999999996</x:v>
      </x:c>
      <x:c r="G5" s="40" t="n">
        <x:f>B5*D5</x:f>
        <x:v>0.6</x:v>
      </x:c>
      <x:c r="H5" s="40" t="str">
        <x:f>IF(AND(E5="Yes",C5&lt;3),"FAIL","")</x:f>
      </x:c>
      <x:c r="I5" s="76" t="str">
        <x:f>IF(AND(E5="Yes",D5&lt;3),"FAIL","")</x:f>
      </x:c>
      <x:c r="K5" s="75" t="str">
        <x:v>Vendor B score</x:v>
      </x:c>
      <x:c r="L5" s="76" t="n">
        <x:f>SUM(G4:G12)</x:f>
        <x:v>3.92</x:v>
      </x:c>
    </x:row>
    <x:row r="6">
      <x:c r="A6" s="75" t="str">
        <x:v>Interoperability and portability</x:v>
      </x:c>
      <x:c r="B6" s="40" t="n">
        <x:v>0.12</x:v>
      </x:c>
      <x:c r="C6" s="40" t="n">
        <x:v>2</x:v>
      </x:c>
      <x:c r="D6" s="40" t="n">
        <x:v>4</x:v>
      </x:c>
      <x:c r="E6" s="76" t="str">
        <x:v>Yes</x:v>
      </x:c>
      <x:c r="F6" s="75" t="n">
        <x:f>B6*C6</x:f>
        <x:v>0.24</x:v>
      </x:c>
      <x:c r="G6" s="40" t="n">
        <x:f>B6*D6</x:f>
        <x:v>0.48</x:v>
      </x:c>
      <x:c r="H6" s="40" t="str">
        <x:f>IF(AND(E6="Yes",C6&lt;3),"FAIL","")</x:f>
        <x:v>FAIL</x:v>
      </x:c>
      <x:c r="I6" s="76" t="str">
        <x:f>IF(AND(E6="Yes",D6&lt;3),"FAIL","")</x:f>
      </x:c>
      <x:c r="K6" s="75" t="str">
        <x:v>Vendor A failures</x:v>
      </x:c>
      <x:c r="L6" s="76" t="n">
        <x:f>COUNTIF(H4:H12,"FAIL")</x:f>
        <x:v>5</x:v>
      </x:c>
    </x:row>
    <x:row r="7">
      <x:c r="A7" s="75" t="str">
        <x:v>Privacy and cybersecurity</x:v>
      </x:c>
      <x:c r="B7" s="40" t="n">
        <x:v>0.15</x:v>
      </x:c>
      <x:c r="C7" s="40" t="n">
        <x:v>1</x:v>
      </x:c>
      <x:c r="D7" s="40" t="n">
        <x:v>4</x:v>
      </x:c>
      <x:c r="E7" s="76" t="str">
        <x:v>Yes</x:v>
      </x:c>
      <x:c r="F7" s="75" t="n">
        <x:f>B7*C7</x:f>
        <x:v>0.15</x:v>
      </x:c>
      <x:c r="G7" s="40" t="n">
        <x:f>B7*D7</x:f>
        <x:v>0.6</x:v>
      </x:c>
      <x:c r="H7" s="40" t="str">
        <x:f>IF(AND(E7="Yes",C7&lt;3),"FAIL","")</x:f>
        <x:v>FAIL</x:v>
      </x:c>
      <x:c r="I7" s="76" t="str">
        <x:f>IF(AND(E7="Yes",D7&lt;3),"FAIL","")</x:f>
      </x:c>
      <x:c r="K7" s="77" t="str">
        <x:v>Vendor B failures</x:v>
      </x:c>
      <x:c r="L7" s="79" t="n">
        <x:f>COUNTIF(I4:I12,"FAIL")</x:f>
        <x:v>0</x:v>
      </x:c>
    </x:row>
    <x:row r="8">
      <x:c r="A8" s="75" t="str">
        <x:v>Monitoring and auditability</x:v>
      </x:c>
      <x:c r="B8" s="40" t="n">
        <x:v>0.13</x:v>
      </x:c>
      <x:c r="C8" s="40" t="n">
        <x:v>1</x:v>
      </x:c>
      <x:c r="D8" s="40" t="n">
        <x:v>4</x:v>
      </x:c>
      <x:c r="E8" s="76" t="str">
        <x:v>Yes</x:v>
      </x:c>
      <x:c r="F8" s="75" t="n">
        <x:f>B8*C8</x:f>
        <x:v>0.13</x:v>
      </x:c>
      <x:c r="G8" s="40" t="n">
        <x:f>B8*D8</x:f>
        <x:v>0.52</x:v>
      </x:c>
      <x:c r="H8" s="40" t="str">
        <x:f>IF(AND(E8="Yes",C8&lt;3),"FAIL","")</x:f>
        <x:v>FAIL</x:v>
      </x:c>
      <x:c r="I8" s="76" t="str">
        <x:f>IF(AND(E8="Yes",D8&lt;3),"FAIL","")</x:f>
      </x:c>
    </x:row>
    <x:row r="9">
      <x:c r="A9" s="75" t="str">
        <x:v>Update and rollback controls</x:v>
      </x:c>
      <x:c r="B9" s="40" t="n">
        <x:v>0.1</x:v>
      </x:c>
      <x:c r="C9" s="40" t="n">
        <x:v>1</x:v>
      </x:c>
      <x:c r="D9" s="40" t="n">
        <x:v>4</x:v>
      </x:c>
      <x:c r="E9" s="76" t="str">
        <x:v>Yes</x:v>
      </x:c>
      <x:c r="F9" s="75" t="n">
        <x:f>B9*C9</x:f>
        <x:v>0.1</x:v>
      </x:c>
      <x:c r="G9" s="40" t="n">
        <x:f>B9*D9</x:f>
        <x:v>0.4</x:v>
      </x:c>
      <x:c r="H9" s="40" t="str">
        <x:f>IF(AND(E9="Yes",C9&lt;3),"FAIL","")</x:f>
        <x:v>FAIL</x:v>
      </x:c>
      <x:c r="I9" s="76" t="str">
        <x:f>IF(AND(E9="Yes",D9&lt;3),"FAIL","")</x:f>
      </x:c>
    </x:row>
    <x:row r="10">
      <x:c r="A10" s="75" t="str">
        <x:v>Pricing transparency</x:v>
      </x:c>
      <x:c r="B10" s="40" t="n">
        <x:v>0.08</x:v>
      </x:c>
      <x:c r="C10" s="40" t="n">
        <x:v>4</x:v>
      </x:c>
      <x:c r="D10" s="40" t="n">
        <x:v>3</x:v>
      </x:c>
      <x:c r="E10" s="76" t="str">
        <x:v>No</x:v>
      </x:c>
      <x:c r="F10" s="75" t="n">
        <x:f>B10*C10</x:f>
        <x:v>0.32</x:v>
      </x:c>
      <x:c r="G10" s="40" t="n">
        <x:f>B10*D10</x:f>
        <x:v>0.24</x:v>
      </x:c>
      <x:c r="H10" s="40" t="str">
        <x:f>IF(AND(E10="Yes",C10&lt;3),"FAIL","")</x:f>
      </x:c>
      <x:c r="I10" s="76" t="str">
        <x:f>IF(AND(E10="Yes",D10&lt;3),"FAIL","")</x:f>
      </x:c>
    </x:row>
    <x:row r="11">
      <x:c r="A11" s="75" t="str">
        <x:v>Training and implementation support</x:v>
      </x:c>
      <x:c r="B11" s="40" t="n">
        <x:v>0.06</x:v>
      </x:c>
      <x:c r="C11" s="40" t="n">
        <x:v>2</x:v>
      </x:c>
      <x:c r="D11" s="40" t="n">
        <x:v>4</x:v>
      </x:c>
      <x:c r="E11" s="76" t="str">
        <x:v>No</x:v>
      </x:c>
      <x:c r="F11" s="75" t="n">
        <x:f>B11*C11</x:f>
        <x:v>0.12</x:v>
      </x:c>
      <x:c r="G11" s="40" t="n">
        <x:f>B11*D11</x:f>
        <x:v>0.24</x:v>
      </x:c>
      <x:c r="H11" s="40" t="str">
        <x:f>IF(AND(E11="Yes",C11&lt;3),"FAIL","")</x:f>
      </x:c>
      <x:c r="I11" s="76" t="str">
        <x:f>IF(AND(E11="Yes",D11&lt;3),"FAIL","")</x:f>
      </x:c>
    </x:row>
    <x:row r="12">
      <x:c r="A12" s="77" t="str">
        <x:v>Exit and decommissioning</x:v>
      </x:c>
      <x:c r="B12" s="78" t="n">
        <x:v>0.06</x:v>
      </x:c>
      <x:c r="C12" s="78" t="n">
        <x:v>1</x:v>
      </x:c>
      <x:c r="D12" s="78" t="n">
        <x:v>4</x:v>
      </x:c>
      <x:c r="E12" s="79" t="str">
        <x:v>Yes</x:v>
      </x:c>
      <x:c r="F12" s="77" t="n">
        <x:f>B12*C12</x:f>
        <x:v>0.06</x:v>
      </x:c>
      <x:c r="G12" s="78" t="n">
        <x:f>B12*D12</x:f>
        <x:v>0.24</x:v>
      </x:c>
      <x:c r="H12" s="78" t="str">
        <x:f>IF(AND(E12="Yes",C12&lt;3),"FAIL","")</x:f>
        <x:v>FAIL</x:v>
      </x:c>
      <x:c r="I12" s="79" t="str">
        <x:f>IF(AND(E12="Yes",D12&lt;3),"FAIL","")</x:f>
      </x:c>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s>
  <x:sheetData>
    <x:row r="1">
      <x:c r="A1" s="102" t="str">
        <x:v>Blank template - replace synthetic values with governed local evidence</x:v>
      </x:c>
      <x:c r="B1" s="102"/>
      <x:c r="C1" s="102"/>
      <x:c r="D1" s="102"/>
      <x:c r="E1" s="102"/>
    </x:row>
    <x:row r="3">
      <x:c r="A3" s="112" t="str">
        <x:v>Criterion</x:v>
      </x:c>
      <x:c r="B3" s="113" t="str">
        <x:v>Weight</x:v>
      </x:c>
      <x:c r="C3" s="113" t="str">
        <x:v>Vendor A score</x:v>
      </x:c>
      <x:c r="D3" s="113" t="str">
        <x:v>Vendor B score</x:v>
      </x:c>
      <x:c r="E3" s="114" t="str">
        <x:v>Mandatory</x:v>
      </x:c>
    </x:row>
    <x:row r="4">
      <x:c r="A4" s="72" t="str">
        <x:v>Problem and workflow fit</x:v>
      </x:c>
      <x:c r="B4" s="73" t="str"/>
      <x:c r="C4" s="73" t="str"/>
      <x:c r="D4" s="73" t="str"/>
      <x:c r="E4" s="74" t="str">
        <x:v>No</x:v>
      </x:c>
    </x:row>
    <x:row r="5">
      <x:c r="A5" s="75" t="str">
        <x:v>External and local evidence</x:v>
      </x:c>
      <x:c r="B5" s="40" t="str"/>
      <x:c r="C5" s="40" t="str"/>
      <x:c r="D5" s="40" t="str"/>
      <x:c r="E5" s="76" t="str">
        <x:v>No</x:v>
      </x:c>
    </x:row>
    <x:row r="6">
      <x:c r="A6" s="75" t="str">
        <x:v>Interoperability and portability</x:v>
      </x:c>
      <x:c r="B6" s="40" t="str"/>
      <x:c r="C6" s="40" t="str"/>
      <x:c r="D6" s="40" t="str"/>
      <x:c r="E6" s="76" t="str">
        <x:v>Yes</x:v>
      </x:c>
    </x:row>
    <x:row r="7">
      <x:c r="A7" s="75" t="str">
        <x:v>Privacy and cybersecurity</x:v>
      </x:c>
      <x:c r="B7" s="40" t="str"/>
      <x:c r="C7" s="40" t="str"/>
      <x:c r="D7" s="40" t="str"/>
      <x:c r="E7" s="76" t="str">
        <x:v>Yes</x:v>
      </x:c>
    </x:row>
    <x:row r="8">
      <x:c r="A8" s="75" t="str">
        <x:v>Monitoring and auditability</x:v>
      </x:c>
      <x:c r="B8" s="40" t="str"/>
      <x:c r="C8" s="40" t="str"/>
      <x:c r="D8" s="40" t="str"/>
      <x:c r="E8" s="76" t="str">
        <x:v>Yes</x:v>
      </x:c>
    </x:row>
    <x:row r="9">
      <x:c r="A9" s="75" t="str">
        <x:v>Update and rollback controls</x:v>
      </x:c>
      <x:c r="B9" s="40" t="str"/>
      <x:c r="C9" s="40" t="str"/>
      <x:c r="D9" s="40" t="str"/>
      <x:c r="E9" s="76" t="str">
        <x:v>Yes</x:v>
      </x:c>
    </x:row>
    <x:row r="10">
      <x:c r="A10" s="75" t="str">
        <x:v>Pricing transparency</x:v>
      </x:c>
      <x:c r="B10" s="40" t="str"/>
      <x:c r="C10" s="40" t="str"/>
      <x:c r="D10" s="40" t="str"/>
      <x:c r="E10" s="76" t="str">
        <x:v>No</x:v>
      </x:c>
    </x:row>
    <x:row r="11">
      <x:c r="A11" s="75" t="str">
        <x:v>Training and implementation support</x:v>
      </x:c>
      <x:c r="B11" s="40" t="str"/>
      <x:c r="C11" s="40" t="str"/>
      <x:c r="D11" s="40" t="str"/>
      <x:c r="E11" s="76" t="str">
        <x:v>No</x:v>
      </x:c>
    </x:row>
    <x:row r="12">
      <x:c r="A12" s="77" t="str">
        <x:v>Exit and decommissioning</x:v>
      </x:c>
      <x:c r="B12" s="78" t="str"/>
      <x:c r="C12" s="78" t="str"/>
      <x:c r="D12" s="78" t="str"/>
      <x:c r="E12" s="79" t="str">
        <x:v>Yes</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102" t="str">
        <x:v>AI Vendor Procurement and Contract Negotiation</x:v>
      </x:c>
      <x:c r="B1" s="102"/>
      <x:c r="C1" s="102"/>
      <x:c r="D1" s="102"/>
      <x:c r="E1" s="102"/>
      <x:c r="F1" s="102"/>
    </x:row>
    <x:row r="2">
      <x:c r="A2" s="102"/>
      <x:c r="B2" s="102"/>
      <x:c r="C2" s="102"/>
      <x:c r="D2" s="102"/>
      <x:c r="E2" s="102"/>
      <x:c r="F2" s="102"/>
    </x:row>
    <x:row r="4">
      <x:c r="A4" s="112" t="str">
        <x:v>Reference metric</x:v>
      </x:c>
      <x:c r="B4" s="114" t="str">
        <x:v>Synthetic result</x:v>
      </x:c>
    </x:row>
    <x:row r="5">
      <x:c r="A5" s="72" t="str">
        <x:v>Eligible vendor</x:v>
      </x:c>
      <x:c r="B5" s="74" t="str">
        <x:v>Vendor B only under current safeguards</x:v>
      </x:c>
    </x:row>
    <x:row r="6">
      <x:c r="A6" s="77" t="str">
        <x:v>Decision</x:v>
      </x:c>
      <x:c r="B6" s="79" t="str">
        <x:v>Proceed to controlled pilot and contract negotiation</x:v>
      </x:c>
    </x:row>
    <x:row r="8">
      <x:c r="A8" s="115" t="str">
        <x:v>Worked interpretation</x:v>
      </x:c>
      <x:c r="B8" s="115"/>
      <x:c r="C8" s="115"/>
      <x:c r="D8" s="115"/>
      <x:c r="E8" s="115"/>
      <x:c r="F8" s="115"/>
    </x:row>
    <x:row r="9">
      <x:c r="A9" s="116" t="str">
        <x:v>Vendor A fails several mandatory safeguards, so its weighted average cannot justify selection. Vendor B may proceed to a controlled pilot after local evidence is verified, variable costs are capped, and monitoring and support are translated into enforceable service levels. Procurement value is the expected future value of the complete contract, not the lowest purchase price.</x:v>
      </x:c>
      <x:c r="B9" s="116"/>
      <x:c r="C9" s="116"/>
      <x:c r="D9" s="116"/>
      <x:c r="E9" s="116"/>
      <x:c r="F9" s="116"/>
    </x:row>
    <x:row r="10">
      <x:c r="A10" s="116"/>
      <x:c r="B10" s="116"/>
      <x:c r="C10" s="116"/>
      <x:c r="D10" s="116"/>
      <x:c r="E10" s="116"/>
      <x:c r="F10" s="116"/>
    </x:row>
    <x:row r="11">
      <x:c r="A11" s="116"/>
      <x:c r="B11" s="116"/>
      <x:c r="C11" s="116"/>
      <x:c r="D11" s="116"/>
      <x:c r="E11" s="116"/>
      <x:c r="F11" s="116"/>
    </x:row>
    <x:row r="12">
      <x:c r="A12" s="116"/>
      <x:c r="B12" s="116"/>
      <x:c r="C12" s="116"/>
      <x:c r="D12" s="116"/>
      <x:c r="E12" s="116"/>
      <x:c r="F12" s="116"/>
    </x:row>
    <x:row r="13">
      <x:c r="A13" s="116"/>
      <x:c r="B13" s="116"/>
      <x:c r="C13" s="116"/>
      <x:c r="D13" s="116"/>
      <x:c r="E13" s="116"/>
      <x:c r="F13" s="116"/>
    </x:row>
    <x:row r="15">
      <x:c r="A15" s="117" t="str">
        <x:v>Interpret calculations with evidence quality, uncertainty, mandatory safeguards, implementation capacity, monitoring, and exit conditions.</x:v>
      </x:c>
      <x:c r="B15" s="117"/>
      <x:c r="C15" s="117"/>
      <x:c r="D15" s="117"/>
      <x:c r="E15" s="117"/>
      <x:c r="F15" s="117"/>
    </x:row>
  </x:sheetData>
  <x:mergeCells>
    <x:mergeCell ref="A1:F2"/>
    <x:mergeCell ref="A8:F8"/>
    <x:mergeCell ref="A9:F13"/>
    <x:mergeCell ref="A15:F15"/>
  </x:mergeCells>
  <x:pageMargins left="0.7" right="0.7" top="0.75" bottom="0.75" header="0.3" footer="0.3"/>
</x: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itle>Digital Resource Companion</dc:title>
  <dc:subject>Healthcare management, economics, evidence, and lifecycle governance</dc:subject>
  <dc:creator>Muthana Zouri; Carmen Marinela Cumpăt</dc:creator>
  <cp:lastModifiedBy/>
  <cp:revision>1</cp:revision>
</cp:coreProperties>
</file>