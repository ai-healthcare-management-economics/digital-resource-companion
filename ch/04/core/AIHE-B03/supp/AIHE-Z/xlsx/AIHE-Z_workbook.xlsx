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ROI_Calculator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4" fontId="0" fillId="5" borderId="0" applyAlignment="1" pivotButton="0" quotePrefix="0" xfId="0">
      <alignment vertical="top" wrapText="1"/>
    </xf>
    <xf numFmtId="4" fontId="0" fillId="0" borderId="0" pivotButton="0" quotePrefix="0" xfId="0"/>
    <xf numFmtId="4" fontId="0" fillId="5" borderId="1" applyAlignment="1" pivotButton="0" quotePrefix="0" xfId="0">
      <alignment vertical="top" wrapText="1"/>
    </xf>
    <xf numFmtId="4" fontId="0" fillId="0" borderId="1" pivotButton="0" quotePrefix="0" xfId="0"/>
    <xf numFmtId="164" fontId="0" fillId="0" borderId="0" pivotButton="0" quotePrefix="0" xfId="0"/>
    <xf numFmtId="164" fontId="0" fillId="5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164" fontId="0" fillId="5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Benefits versus costs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Series 1</v>
          </tx>
          <spPr>
            <a:ln xmlns:a="http://schemas.openxmlformats.org/drawingml/2006/main">
              <a:prstDash val="solid"/>
            </a:ln>
          </spPr>
          <cat>
            <strRef>
              <f>'ROI_Calculator'!$A$4:$A$5</f>
              <strCache>
                <ptCount val="0"/>
              </strCache>
            </strRef>
          </cat>
          <val>
            <numRef>
              <f>'ROI_Calculator'!$B$4:$B$5</f>
              <numCache>
                <formatCode>#,##0.00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2</row>
      <rowOff>0</rowOff>
    </from>
    <to>
      <col>11</col>
      <colOff>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AIHE-Z: ROI and Workflow Value Worksheet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AIHE-Z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8, 10, and 20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4" t="inlineStr">
        <is>
          <t>Input</t>
        </is>
      </c>
      <c r="B1" s="24" t="inlineStr">
        <is>
          <t>Amount or evidence</t>
        </is>
      </c>
      <c r="C1" s="24" t="inlineStr">
        <is>
          <t>Notes</t>
        </is>
      </c>
    </row>
    <row r="2">
      <c r="A2" s="17" t="inlineStr">
        <is>
          <t>Total lifecycle cost</t>
        </is>
      </c>
      <c r="B2" s="30" t="str"/>
      <c r="C2" s="30" t="inlineStr">
        <is>
          <t>Include implementation, operation, monitoring, and exit.</t>
        </is>
      </c>
    </row>
    <row r="3">
      <c r="A3" s="17" t="inlineStr">
        <is>
          <t>Time savings</t>
        </is>
      </c>
      <c r="B3" s="30" t="str"/>
      <c r="C3" s="30" t="inlineStr">
        <is>
          <t>State whether time becomes usable capacity.</t>
        </is>
      </c>
    </row>
    <row r="4">
      <c r="A4" s="17" t="inlineStr">
        <is>
          <t>Avoided events</t>
        </is>
      </c>
      <c r="B4" s="30" t="str"/>
      <c r="C4" s="30" t="inlineStr">
        <is>
          <t>Specify attribution and unit cost.</t>
        </is>
      </c>
    </row>
    <row r="5">
      <c r="A5" s="17" t="inlineStr">
        <is>
          <t>Administrative savings</t>
        </is>
      </c>
      <c r="B5" s="30" t="str"/>
      <c r="C5" s="30" t="inlineStr">
        <is>
          <t>Separate transferred work from eliminated work.</t>
        </is>
      </c>
    </row>
    <row r="6">
      <c r="A6" s="17" t="inlineStr">
        <is>
          <t>Quality and access benefits</t>
        </is>
      </c>
      <c r="B6" s="30" t="str"/>
      <c r="C6" s="30" t="inlineStr">
        <is>
          <t>Describe non-monetized value.</t>
        </is>
      </c>
    </row>
    <row r="7">
      <c r="A7" s="17" t="inlineStr">
        <is>
          <t>Net benefit</t>
        </is>
      </c>
      <c r="B7" s="30" t="str"/>
      <c r="C7" s="30" t="inlineStr">
        <is>
          <t>Benefits minus cost.</t>
        </is>
      </c>
    </row>
    <row r="8">
      <c r="A8" s="17" t="inlineStr">
        <is>
          <t>ROI</t>
        </is>
      </c>
      <c r="B8" s="30" t="str"/>
      <c r="C8" s="30" t="inlineStr">
        <is>
          <t>(Benefits - costs) / costs × 100.</t>
        </is>
      </c>
    </row>
    <row r="9">
      <c r="A9" s="17" t="inlineStr">
        <is>
          <t>Limitations</t>
        </is>
      </c>
      <c r="B9" s="30" t="str"/>
      <c r="C9" s="30" t="inlineStr">
        <is>
          <t>List omitted or uncertain effects.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4" t="inlineStr">
        <is>
          <t>Input</t>
        </is>
      </c>
      <c r="B1" s="24" t="inlineStr">
        <is>
          <t>Amount or evidence</t>
        </is>
      </c>
      <c r="C1" s="24" t="inlineStr">
        <is>
          <t>Notes</t>
        </is>
      </c>
    </row>
    <row r="2">
      <c r="A2" s="17" t="inlineStr">
        <is>
          <t>Total lifecycle cost</t>
        </is>
      </c>
      <c r="B2" s="17" t="inlineStr">
        <is>
          <t>195000</t>
        </is>
      </c>
      <c r="C2" s="17" t="inlineStr">
        <is>
          <t>195000</t>
        </is>
      </c>
    </row>
    <row r="3">
      <c r="A3" s="17" t="inlineStr">
        <is>
          <t>Time savings</t>
        </is>
      </c>
      <c r="B3" s="17" t="inlineStr">
        <is>
          <t>EUR 120,000 equivalent gross time value; EUR 70,000 realizable capacity.</t>
        </is>
      </c>
      <c r="C3" s="17" t="inlineStr">
        <is>
          <t>EUR 120,000 equivalent gross time value; EUR 70,000 realizable capacity.</t>
        </is>
      </c>
    </row>
    <row r="4">
      <c r="A4" s="17" t="inlineStr">
        <is>
          <t>Avoided events</t>
        </is>
      </c>
      <c r="B4" s="17" t="inlineStr">
        <is>
          <t>10 readmissions × EUR 8,000 = EUR 80,000.</t>
        </is>
      </c>
      <c r="C4" s="17" t="inlineStr">
        <is>
          <t>10 readmissions × EUR 8,000 = EUR 80,000.</t>
        </is>
      </c>
    </row>
    <row r="5">
      <c r="A5" s="17" t="inlineStr">
        <is>
          <t>Administrative savings</t>
        </is>
      </c>
      <c r="B5" s="17" t="inlineStr">
        <is>
          <t>EUR 40,000 after verification and rework.</t>
        </is>
      </c>
      <c r="C5" s="17" t="inlineStr">
        <is>
          <t>EUR 40,000 after verification and rework.</t>
        </is>
      </c>
    </row>
    <row r="6">
      <c r="A6" s="17" t="inlineStr">
        <is>
          <t>Quality and access benefits</t>
        </is>
      </c>
      <c r="B6" s="17" t="inlineStr">
        <is>
          <t>Improved targeting and follow-up completion; not monetized in base case.</t>
        </is>
      </c>
      <c r="C6" s="17" t="inlineStr">
        <is>
          <t>Improved targeting and follow-up completion; not monetized in base case.</t>
        </is>
      </c>
    </row>
    <row r="7">
      <c r="A7" s="17" t="inlineStr">
        <is>
          <t>Net benefit</t>
        </is>
      </c>
      <c r="B7" s="17" t="inlineStr">
        <is>
          <t>25000</t>
        </is>
      </c>
      <c r="C7" s="17" t="inlineStr">
        <is>
          <t>25000</t>
        </is>
      </c>
    </row>
    <row r="8">
      <c r="A8" s="17" t="inlineStr">
        <is>
          <t>ROI</t>
        </is>
      </c>
      <c r="B8" s="17" t="inlineStr">
        <is>
          <t>12.8%</t>
        </is>
      </c>
      <c r="C8" s="17" t="inlineStr">
        <is>
          <t>12.8%</t>
        </is>
      </c>
    </row>
    <row r="9">
      <c r="A9" s="17" t="inlineStr">
        <is>
          <t>Limitations</t>
        </is>
      </c>
      <c r="B9" s="17" t="inlineStr">
        <is>
          <t>Illustrative only; causal attribution, capacity, and subgroup effects remain uncertain.</t>
        </is>
      </c>
      <c r="C9" s="17" t="inlineStr">
        <is>
          <t>Illustrative only; causal attribution, capacity, and subgroup effects remain uncertain.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9" t="inlineStr">
        <is>
          <t>ROI and Workflow Value Calculator</t>
        </is>
      </c>
      <c r="B1" s="1" t="n"/>
      <c r="C1" s="1" t="n"/>
      <c r="D1" s="1" t="n"/>
    </row>
    <row r="2"/>
    <row r="3">
      <c r="A3" s="24" t="inlineStr">
        <is>
          <t>Input</t>
        </is>
      </c>
      <c r="B3" s="24" t="inlineStr">
        <is>
          <t>Value</t>
        </is>
      </c>
    </row>
    <row r="4">
      <c r="A4" t="inlineStr">
        <is>
          <t>Total estimated benefits</t>
        </is>
      </c>
      <c r="B4" s="42" t="n">
        <v>220000</v>
      </c>
    </row>
    <row r="5">
      <c r="A5" t="inlineStr">
        <is>
          <t>Total lifecycle cost</t>
        </is>
      </c>
      <c r="B5" s="42" t="n">
        <v>195000</v>
      </c>
    </row>
    <row r="6">
      <c r="A6" t="inlineStr">
        <is>
          <t>Net benefit</t>
        </is>
      </c>
      <c r="B6" s="43">
        <f>B4-B5</f>
        <v/>
      </c>
    </row>
    <row r="7">
      <c r="A7" t="inlineStr">
        <is>
          <t>ROI</t>
        </is>
      </c>
      <c r="B7" s="44">
        <f>IF(B5=0,"",B6/B5)</f>
        <v/>
      </c>
    </row>
    <row r="8">
      <c r="A8" t="inlineStr">
        <is>
          <t>Realizable-capacity factor</t>
        </is>
      </c>
      <c r="B8" s="45" t="n">
        <v>0.6</v>
      </c>
    </row>
  </sheetData>
  <mergeCells count="1">
    <mergeCell ref="A1:D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AIHE-Z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